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dadaya21\Desktop\"/>
    </mc:Choice>
  </mc:AlternateContent>
  <xr:revisionPtr revIDLastSave="0" documentId="13_ncr:1_{7173EACA-0091-4DE8-BA07-BD2FFB6B97BA}" xr6:coauthVersionLast="45" xr6:coauthVersionMax="45" xr10:uidLastSave="{00000000-0000-0000-0000-000000000000}"/>
  <bookViews>
    <workbookView xWindow="-108" yWindow="-108" windowWidth="23256" windowHeight="12576" activeTab="5" xr2:uid="{00000000-000D-0000-FFFF-FFFF00000000}"/>
  </bookViews>
  <sheets>
    <sheet name="Задание1" sheetId="1" r:id="rId1"/>
    <sheet name="Задание2" sheetId="2" r:id="rId2"/>
    <sheet name="Задание3" sheetId="3" r:id="rId3"/>
    <sheet name="Задание4" sheetId="4" r:id="rId4"/>
    <sheet name="Задание5" sheetId="6" r:id="rId5"/>
    <sheet name="Задание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9" i="7" l="1" a="1"/>
  <c r="G29" i="7" s="1"/>
  <c r="K29" i="7"/>
  <c r="G30" i="7"/>
  <c r="H30" i="7"/>
  <c r="I30" i="7"/>
  <c r="I31" i="7"/>
  <c r="J31" i="7"/>
  <c r="K31" i="7"/>
  <c r="G32" i="7"/>
  <c r="G33" i="7"/>
  <c r="H33" i="7"/>
  <c r="I33" i="7"/>
  <c r="J33" i="7"/>
  <c r="E23" i="7" a="1"/>
  <c r="E23" i="7" s="1"/>
  <c r="G24" i="7"/>
  <c r="E25" i="7"/>
  <c r="F25" i="7"/>
  <c r="F16" i="7" a="1"/>
  <c r="F16" i="7" s="1"/>
  <c r="I16" i="7"/>
  <c r="F17" i="7"/>
  <c r="G17" i="7"/>
  <c r="H17" i="7"/>
  <c r="I17" i="7"/>
  <c r="I18" i="7"/>
  <c r="F19" i="7"/>
  <c r="G19" i="7"/>
  <c r="H19" i="7"/>
  <c r="I19" i="7"/>
  <c r="D10" i="7" a="1"/>
  <c r="D10" i="7" s="1"/>
  <c r="E11" i="7"/>
  <c r="E2" i="7" a="1"/>
  <c r="E2" i="7" s="1"/>
  <c r="E3" i="7"/>
  <c r="F3" i="7"/>
  <c r="G3" i="7"/>
  <c r="E4" i="7"/>
  <c r="F4" i="7"/>
  <c r="D13" i="6"/>
  <c r="N7" i="6"/>
  <c r="G7" i="6"/>
  <c r="K2" i="6"/>
  <c r="D2" i="6"/>
  <c r="Z8" i="4" a="1"/>
  <c r="Z8" i="4" s="1"/>
  <c r="AB8" i="4"/>
  <c r="AC8" i="4"/>
  <c r="AD8" i="4"/>
  <c r="Z9" i="4"/>
  <c r="AA9" i="4"/>
  <c r="AB9" i="4"/>
  <c r="Z10" i="4"/>
  <c r="AA10" i="4"/>
  <c r="AB10" i="4"/>
  <c r="AC10" i="4"/>
  <c r="AD10" i="4"/>
  <c r="Z11" i="4"/>
  <c r="AC11" i="4"/>
  <c r="AD11" i="4"/>
  <c r="V8" i="4" a="1"/>
  <c r="V8" i="4" s="1"/>
  <c r="Y8" i="4"/>
  <c r="N8" i="4" a="1"/>
  <c r="N8" i="4" s="1"/>
  <c r="P8" i="4"/>
  <c r="N9" i="4"/>
  <c r="O9" i="4"/>
  <c r="P9" i="4"/>
  <c r="N10" i="4"/>
  <c r="O10" i="4"/>
  <c r="N11" i="4"/>
  <c r="O11" i="4"/>
  <c r="P11" i="4"/>
  <c r="N12" i="4"/>
  <c r="O12" i="4"/>
  <c r="P12" i="4"/>
  <c r="F8" i="4" a="1"/>
  <c r="F8" i="4" s="1"/>
  <c r="I8" i="4"/>
  <c r="J8" i="4"/>
  <c r="F9" i="4"/>
  <c r="G9" i="4"/>
  <c r="H9" i="4"/>
  <c r="G10" i="4"/>
  <c r="H10" i="4"/>
  <c r="I10" i="4"/>
  <c r="J10" i="4"/>
  <c r="F11" i="4"/>
  <c r="J11" i="4"/>
  <c r="F12" i="4"/>
  <c r="G12" i="4"/>
  <c r="H12" i="4"/>
  <c r="I12" i="4"/>
  <c r="A8" i="4" a="1"/>
  <c r="A8" i="4" s="1"/>
  <c r="D8" i="4"/>
  <c r="E8" i="4"/>
  <c r="A9" i="4"/>
  <c r="B9" i="4"/>
  <c r="C9" i="4"/>
  <c r="G6" i="4"/>
  <c r="F6" i="4"/>
  <c r="J5" i="4"/>
  <c r="I5" i="4"/>
  <c r="H5" i="4"/>
  <c r="I4" i="4"/>
  <c r="H4" i="4"/>
  <c r="G4" i="4"/>
  <c r="F4" i="4"/>
  <c r="J3" i="4"/>
  <c r="F3" i="4"/>
  <c r="J2" i="4"/>
  <c r="I2" i="4"/>
  <c r="H2" i="4"/>
  <c r="G2" i="4"/>
  <c r="F2" i="4" a="1"/>
  <c r="J6" i="4" s="1"/>
  <c r="M33" i="3" a="1"/>
  <c r="M33" i="3" s="1"/>
  <c r="N34" i="3"/>
  <c r="O34" i="3"/>
  <c r="Q35" i="3"/>
  <c r="M36" i="3"/>
  <c r="O37" i="3"/>
  <c r="P37" i="3"/>
  <c r="A14" i="2" a="1"/>
  <c r="A14" i="2" s="1"/>
  <c r="F14" i="2"/>
  <c r="G14" i="2"/>
  <c r="H14" i="2"/>
  <c r="E15" i="2"/>
  <c r="F15" i="2"/>
  <c r="G15" i="2"/>
  <c r="D16" i="2"/>
  <c r="E16" i="2"/>
  <c r="F16" i="2"/>
  <c r="C17" i="2"/>
  <c r="D17" i="2"/>
  <c r="E17" i="2"/>
  <c r="B18" i="2"/>
  <c r="C18" i="2"/>
  <c r="D18" i="2"/>
  <c r="A19" i="2"/>
  <c r="B19" i="2"/>
  <c r="C19" i="2"/>
  <c r="I19" i="2"/>
  <c r="A20" i="2"/>
  <c r="B20" i="2"/>
  <c r="H20" i="2"/>
  <c r="I20" i="2"/>
  <c r="A21" i="2"/>
  <c r="G21" i="2"/>
  <c r="H21" i="2"/>
  <c r="I21" i="2"/>
  <c r="F22" i="2"/>
  <c r="G22" i="2"/>
  <c r="H22" i="2"/>
  <c r="G8" i="2" a="1"/>
  <c r="G8" i="2" s="1"/>
  <c r="H9" i="2"/>
  <c r="A8" i="2" a="1"/>
  <c r="A8" i="2" s="1"/>
  <c r="D8" i="2"/>
  <c r="A9" i="2"/>
  <c r="B9" i="2"/>
  <c r="C9" i="2"/>
  <c r="D9" i="2"/>
  <c r="C10" i="2"/>
  <c r="D10" i="2"/>
  <c r="A11" i="2"/>
  <c r="B11" i="2"/>
  <c r="C11" i="2"/>
  <c r="D11" i="2"/>
  <c r="G2" i="2" a="1"/>
  <c r="G2" i="2" s="1"/>
  <c r="G3" i="2"/>
  <c r="H3" i="2"/>
  <c r="I3" i="2"/>
  <c r="G4" i="2"/>
  <c r="H4" i="2"/>
  <c r="A2" i="2" a="1"/>
  <c r="A2" i="2" s="1"/>
  <c r="D2" i="2"/>
  <c r="E2" i="2"/>
  <c r="A3" i="2"/>
  <c r="B3" i="2"/>
  <c r="C3" i="2"/>
  <c r="B4" i="2"/>
  <c r="C4" i="2"/>
  <c r="D4" i="2"/>
  <c r="E4" i="2"/>
  <c r="A5" i="2"/>
  <c r="E5" i="2"/>
  <c r="A6" i="2"/>
  <c r="B6" i="2"/>
  <c r="C6" i="2"/>
  <c r="D6" i="2"/>
  <c r="R27" i="1"/>
  <c r="S27" i="1"/>
  <c r="R28" i="1"/>
  <c r="S28" i="1"/>
  <c r="R29" i="1"/>
  <c r="S29" i="1"/>
  <c r="R30" i="1"/>
  <c r="S30" i="1"/>
  <c r="Q28" i="1"/>
  <c r="Q29" i="1"/>
  <c r="Q30" i="1"/>
  <c r="Q27" i="1"/>
  <c r="N22" i="1"/>
  <c r="N23" i="1"/>
  <c r="N24" i="1"/>
  <c r="M23" i="1"/>
  <c r="M24" i="1"/>
  <c r="M22" i="1"/>
  <c r="AA15" i="1"/>
  <c r="AB15" i="1"/>
  <c r="AC15" i="1"/>
  <c r="AD15" i="1"/>
  <c r="AA16" i="1"/>
  <c r="AB16" i="1"/>
  <c r="AC16" i="1"/>
  <c r="AD16" i="1"/>
  <c r="AA17" i="1"/>
  <c r="AB17" i="1"/>
  <c r="AC17" i="1"/>
  <c r="AD17" i="1"/>
  <c r="AA18" i="1"/>
  <c r="AB18" i="1"/>
  <c r="AC18" i="1"/>
  <c r="AD18" i="1"/>
  <c r="AA19" i="1"/>
  <c r="AB19" i="1"/>
  <c r="AC19" i="1"/>
  <c r="AD19" i="1"/>
  <c r="Z16" i="1"/>
  <c r="Z17" i="1"/>
  <c r="Z18" i="1"/>
  <c r="Z19" i="1"/>
  <c r="Z15" i="1"/>
  <c r="W8" i="1"/>
  <c r="X8" i="1"/>
  <c r="W9" i="1"/>
  <c r="X9" i="1"/>
  <c r="W10" i="1"/>
  <c r="X10" i="1"/>
  <c r="W11" i="1"/>
  <c r="X11" i="1"/>
  <c r="W12" i="1"/>
  <c r="X12" i="1"/>
  <c r="V9" i="1"/>
  <c r="V10" i="1"/>
  <c r="V11" i="1"/>
  <c r="V12" i="1"/>
  <c r="V8" i="1"/>
  <c r="W2" i="1"/>
  <c r="X2" i="1"/>
  <c r="Y2" i="1"/>
  <c r="W3" i="1"/>
  <c r="X3" i="1"/>
  <c r="Y3" i="1"/>
  <c r="W4" i="1"/>
  <c r="X4" i="1"/>
  <c r="Y4" i="1"/>
  <c r="W5" i="1"/>
  <c r="X5" i="1"/>
  <c r="Y5" i="1"/>
  <c r="V3" i="1"/>
  <c r="V4" i="1"/>
  <c r="V5" i="1"/>
  <c r="V2" i="1"/>
  <c r="N30" i="3"/>
  <c r="M30" i="3"/>
  <c r="L30" i="3"/>
  <c r="K30" i="3"/>
  <c r="P29" i="3"/>
  <c r="O29" i="3"/>
  <c r="L29" i="3"/>
  <c r="K29" i="3"/>
  <c r="P28" i="3"/>
  <c r="O28" i="3"/>
  <c r="N28" i="3"/>
  <c r="M28" i="3"/>
  <c r="P27" i="3"/>
  <c r="O27" i="3"/>
  <c r="N27" i="3"/>
  <c r="M27" i="3"/>
  <c r="L27" i="3"/>
  <c r="K27" i="3"/>
  <c r="K27" i="3" a="1"/>
  <c r="P30" i="3" s="1"/>
  <c r="K24" i="3"/>
  <c r="J24" i="3"/>
  <c r="I24" i="3"/>
  <c r="K23" i="3"/>
  <c r="I23" i="3" a="1"/>
  <c r="J23" i="3" s="1"/>
  <c r="J16" i="3" a="1"/>
  <c r="L19" i="3" s="1"/>
  <c r="N8" i="3" a="1"/>
  <c r="S13" i="3" s="1"/>
  <c r="L5" i="3"/>
  <c r="K5" i="3"/>
  <c r="J5" i="3"/>
  <c r="J4" i="3"/>
  <c r="L3" i="3"/>
  <c r="K3" i="3"/>
  <c r="J3" i="3"/>
  <c r="L2" i="3"/>
  <c r="K2" i="3"/>
  <c r="J2" i="3" a="1"/>
  <c r="L4" i="3" s="1"/>
  <c r="N27" i="1"/>
  <c r="O27" i="1"/>
  <c r="N28" i="1"/>
  <c r="O28" i="1"/>
  <c r="N29" i="1"/>
  <c r="O29" i="1"/>
  <c r="N30" i="1"/>
  <c r="O30" i="1"/>
  <c r="M28" i="1"/>
  <c r="M29" i="1"/>
  <c r="M30" i="1"/>
  <c r="M27" i="1"/>
  <c r="K22" i="1"/>
  <c r="K23" i="1"/>
  <c r="K24" i="1"/>
  <c r="J23" i="1"/>
  <c r="J24" i="1"/>
  <c r="J22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S16" i="1"/>
  <c r="S17" i="1"/>
  <c r="S18" i="1"/>
  <c r="S19" i="1"/>
  <c r="S15" i="1"/>
  <c r="Q8" i="1"/>
  <c r="R8" i="1"/>
  <c r="Q9" i="1"/>
  <c r="R9" i="1"/>
  <c r="Q10" i="1"/>
  <c r="R10" i="1"/>
  <c r="Q11" i="1"/>
  <c r="R11" i="1"/>
  <c r="Q12" i="1"/>
  <c r="R12" i="1"/>
  <c r="P9" i="1"/>
  <c r="P10" i="1"/>
  <c r="P11" i="1"/>
  <c r="P12" i="1"/>
  <c r="P8" i="1"/>
  <c r="Q2" i="1"/>
  <c r="R2" i="1"/>
  <c r="S2" i="1"/>
  <c r="Q3" i="1"/>
  <c r="R3" i="1"/>
  <c r="S3" i="1"/>
  <c r="Q4" i="1"/>
  <c r="R4" i="1"/>
  <c r="S4" i="1"/>
  <c r="Q5" i="1"/>
  <c r="R5" i="1"/>
  <c r="S5" i="1"/>
  <c r="P3" i="1"/>
  <c r="P4" i="1"/>
  <c r="P5" i="1"/>
  <c r="P2" i="1"/>
  <c r="J27" i="1"/>
  <c r="K27" i="1"/>
  <c r="J28" i="1"/>
  <c r="K28" i="1"/>
  <c r="J29" i="1"/>
  <c r="K29" i="1"/>
  <c r="J30" i="1"/>
  <c r="K30" i="1"/>
  <c r="I28" i="1"/>
  <c r="I29" i="1"/>
  <c r="I30" i="1"/>
  <c r="I27" i="1"/>
  <c r="G23" i="1"/>
  <c r="H23" i="1"/>
  <c r="G24" i="1"/>
  <c r="H24" i="1"/>
  <c r="H22" i="1"/>
  <c r="G22" i="1"/>
  <c r="M16" i="1"/>
  <c r="N16" i="1"/>
  <c r="O16" i="1"/>
  <c r="P16" i="1"/>
  <c r="Q16" i="1"/>
  <c r="M17" i="1"/>
  <c r="N17" i="1"/>
  <c r="O17" i="1"/>
  <c r="P17" i="1"/>
  <c r="Q17" i="1"/>
  <c r="M18" i="1"/>
  <c r="N18" i="1"/>
  <c r="O18" i="1"/>
  <c r="P18" i="1"/>
  <c r="Q18" i="1"/>
  <c r="M19" i="1"/>
  <c r="N19" i="1"/>
  <c r="O19" i="1"/>
  <c r="P19" i="1"/>
  <c r="Q19" i="1"/>
  <c r="N15" i="1"/>
  <c r="O15" i="1"/>
  <c r="P15" i="1"/>
  <c r="Q15" i="1"/>
  <c r="M15" i="1"/>
  <c r="K9" i="1"/>
  <c r="L9" i="1"/>
  <c r="M9" i="1"/>
  <c r="K10" i="1"/>
  <c r="L10" i="1"/>
  <c r="M10" i="1"/>
  <c r="K11" i="1"/>
  <c r="L11" i="1"/>
  <c r="M11" i="1"/>
  <c r="K12" i="1"/>
  <c r="L12" i="1"/>
  <c r="M12" i="1"/>
  <c r="L8" i="1"/>
  <c r="M8" i="1"/>
  <c r="K8" i="1"/>
  <c r="K3" i="1"/>
  <c r="L3" i="1"/>
  <c r="M3" i="1"/>
  <c r="N3" i="1"/>
  <c r="K4" i="1"/>
  <c r="L4" i="1"/>
  <c r="M4" i="1"/>
  <c r="N4" i="1"/>
  <c r="K5" i="1"/>
  <c r="L5" i="1"/>
  <c r="M5" i="1"/>
  <c r="N5" i="1"/>
  <c r="L2" i="1"/>
  <c r="M2" i="1"/>
  <c r="N2" i="1"/>
  <c r="K2" i="1"/>
  <c r="K32" i="7" l="1"/>
  <c r="J32" i="7"/>
  <c r="G31" i="7"/>
  <c r="I29" i="7"/>
  <c r="H31" i="7"/>
  <c r="I32" i="7"/>
  <c r="K30" i="7"/>
  <c r="H29" i="7"/>
  <c r="J29" i="7"/>
  <c r="K33" i="7"/>
  <c r="H32" i="7"/>
  <c r="J30" i="7"/>
  <c r="F24" i="7"/>
  <c r="E24" i="7"/>
  <c r="G23" i="7"/>
  <c r="F23" i="7"/>
  <c r="G25" i="7"/>
  <c r="H18" i="7"/>
  <c r="H16" i="7"/>
  <c r="G18" i="7"/>
  <c r="G16" i="7"/>
  <c r="F18" i="7"/>
  <c r="D11" i="7"/>
  <c r="E10" i="7"/>
  <c r="G2" i="7"/>
  <c r="F2" i="7"/>
  <c r="G4" i="7"/>
  <c r="AB11" i="4"/>
  <c r="AD9" i="4"/>
  <c r="AA8" i="4"/>
  <c r="AA11" i="4"/>
  <c r="AC9" i="4"/>
  <c r="X8" i="4"/>
  <c r="W8" i="4"/>
  <c r="O8" i="4"/>
  <c r="P10" i="4"/>
  <c r="I11" i="4"/>
  <c r="F10" i="4"/>
  <c r="H8" i="4"/>
  <c r="H11" i="4"/>
  <c r="J9" i="4"/>
  <c r="G8" i="4"/>
  <c r="J12" i="4"/>
  <c r="G11" i="4"/>
  <c r="I9" i="4"/>
  <c r="C8" i="4"/>
  <c r="E9" i="4"/>
  <c r="B8" i="4"/>
  <c r="D9" i="4"/>
  <c r="G3" i="4"/>
  <c r="J4" i="4"/>
  <c r="H6" i="4"/>
  <c r="H3" i="4"/>
  <c r="F5" i="4"/>
  <c r="I6" i="4"/>
  <c r="F2" i="4"/>
  <c r="I3" i="4"/>
  <c r="G5" i="4"/>
  <c r="P35" i="3"/>
  <c r="O35" i="3"/>
  <c r="Q36" i="3"/>
  <c r="P36" i="3"/>
  <c r="M35" i="3"/>
  <c r="O33" i="3"/>
  <c r="N37" i="3"/>
  <c r="Q33" i="3"/>
  <c r="P33" i="3"/>
  <c r="O36" i="3"/>
  <c r="Q34" i="3"/>
  <c r="N33" i="3"/>
  <c r="M34" i="3"/>
  <c r="M37" i="3"/>
  <c r="N35" i="3"/>
  <c r="Q37" i="3"/>
  <c r="N36" i="3"/>
  <c r="P34" i="3"/>
  <c r="F21" i="2"/>
  <c r="H19" i="2"/>
  <c r="A18" i="2"/>
  <c r="E14" i="2"/>
  <c r="F20" i="2"/>
  <c r="H18" i="2"/>
  <c r="A17" i="2"/>
  <c r="C15" i="2"/>
  <c r="E20" i="2"/>
  <c r="F19" i="2"/>
  <c r="G18" i="2"/>
  <c r="H17" i="2"/>
  <c r="I16" i="2"/>
  <c r="A16" i="2"/>
  <c r="B15" i="2"/>
  <c r="C14" i="2"/>
  <c r="E22" i="2"/>
  <c r="C16" i="2"/>
  <c r="D22" i="2"/>
  <c r="B16" i="2"/>
  <c r="D21" i="2"/>
  <c r="B22" i="2"/>
  <c r="C21" i="2"/>
  <c r="D20" i="2"/>
  <c r="E19" i="2"/>
  <c r="F18" i="2"/>
  <c r="G17" i="2"/>
  <c r="H16" i="2"/>
  <c r="I15" i="2"/>
  <c r="A15" i="2"/>
  <c r="B14" i="2"/>
  <c r="G20" i="2"/>
  <c r="I18" i="2"/>
  <c r="B17" i="2"/>
  <c r="D15" i="2"/>
  <c r="E21" i="2"/>
  <c r="G19" i="2"/>
  <c r="I17" i="2"/>
  <c r="D14" i="2"/>
  <c r="C22" i="2"/>
  <c r="I22" i="2"/>
  <c r="A22" i="2"/>
  <c r="B21" i="2"/>
  <c r="C20" i="2"/>
  <c r="D19" i="2"/>
  <c r="E18" i="2"/>
  <c r="F17" i="2"/>
  <c r="G16" i="2"/>
  <c r="H15" i="2"/>
  <c r="I14" i="2"/>
  <c r="G9" i="2"/>
  <c r="H8" i="2"/>
  <c r="C8" i="2"/>
  <c r="B10" i="2"/>
  <c r="B8" i="2"/>
  <c r="A10" i="2"/>
  <c r="I2" i="2"/>
  <c r="H2" i="2"/>
  <c r="I4" i="2"/>
  <c r="D5" i="2"/>
  <c r="A4" i="2"/>
  <c r="C2" i="2"/>
  <c r="C5" i="2"/>
  <c r="E3" i="2"/>
  <c r="B2" i="2"/>
  <c r="E6" i="2"/>
  <c r="B5" i="2"/>
  <c r="D3" i="2"/>
  <c r="R8" i="3"/>
  <c r="N10" i="3"/>
  <c r="P11" i="3"/>
  <c r="R12" i="3"/>
  <c r="M17" i="3"/>
  <c r="S11" i="3"/>
  <c r="J25" i="3"/>
  <c r="K4" i="3"/>
  <c r="P8" i="3"/>
  <c r="R9" i="3"/>
  <c r="N11" i="3"/>
  <c r="P12" i="3"/>
  <c r="R13" i="3"/>
  <c r="K17" i="3"/>
  <c r="K19" i="3"/>
  <c r="I23" i="3"/>
  <c r="K25" i="3"/>
  <c r="K28" i="3"/>
  <c r="M29" i="3"/>
  <c r="O30" i="3"/>
  <c r="M19" i="3"/>
  <c r="S8" i="3"/>
  <c r="O10" i="3"/>
  <c r="Q11" i="3"/>
  <c r="S12" i="3"/>
  <c r="J16" i="3"/>
  <c r="J18" i="3"/>
  <c r="J20" i="3"/>
  <c r="N9" i="3"/>
  <c r="P10" i="3"/>
  <c r="R11" i="3"/>
  <c r="N13" i="3"/>
  <c r="K16" i="3"/>
  <c r="K18" i="3"/>
  <c r="K20" i="3"/>
  <c r="O9" i="3"/>
  <c r="Q10" i="3"/>
  <c r="O13" i="3"/>
  <c r="L16" i="3"/>
  <c r="L18" i="3"/>
  <c r="L20" i="3"/>
  <c r="N8" i="3"/>
  <c r="P9" i="3"/>
  <c r="R10" i="3"/>
  <c r="N12" i="3"/>
  <c r="P13" i="3"/>
  <c r="M16" i="3"/>
  <c r="M18" i="3"/>
  <c r="M20" i="3"/>
  <c r="I25" i="3"/>
  <c r="O8" i="3"/>
  <c r="Q9" i="3"/>
  <c r="S10" i="3"/>
  <c r="O12" i="3"/>
  <c r="Q13" i="3"/>
  <c r="J17" i="3"/>
  <c r="J19" i="3"/>
  <c r="J2" i="3"/>
  <c r="Q8" i="3"/>
  <c r="S9" i="3"/>
  <c r="O11" i="3"/>
  <c r="Q12" i="3"/>
  <c r="L17" i="3"/>
  <c r="L28" i="3"/>
  <c r="N29" i="3"/>
</calcChain>
</file>

<file path=xl/sharedStrings.xml><?xml version="1.0" encoding="utf-8"?>
<sst xmlns="http://schemas.openxmlformats.org/spreadsheetml/2006/main" count="79" uniqueCount="66">
  <si>
    <t>Матрица A</t>
  </si>
  <si>
    <t>Матрица B</t>
  </si>
  <si>
    <t>Матрица C = A + B</t>
  </si>
  <si>
    <t>Матрица D</t>
  </si>
  <si>
    <t>Матрица E</t>
  </si>
  <si>
    <t>Матрица F = D + E</t>
  </si>
  <si>
    <t>Матрица G</t>
  </si>
  <si>
    <t>Матрица H</t>
  </si>
  <si>
    <t>Матрица I = G + H</t>
  </si>
  <si>
    <t>Матрица J</t>
  </si>
  <si>
    <t>Матрица K</t>
  </si>
  <si>
    <t>Матрица M</t>
  </si>
  <si>
    <t>Матрица L = J + K</t>
  </si>
  <si>
    <t>Матрица N</t>
  </si>
  <si>
    <t>Матрица O = M + N</t>
  </si>
  <si>
    <t>Матрица P = A - B</t>
  </si>
  <si>
    <t>Матрица Q = D - E</t>
  </si>
  <si>
    <t>Матрица R = G - H</t>
  </si>
  <si>
    <t>Матрица S = J - K</t>
  </si>
  <si>
    <t>Матрица T = M - N</t>
  </si>
  <si>
    <t>Матрица U</t>
  </si>
  <si>
    <t>Матрица V</t>
  </si>
  <si>
    <t>Матрица W = U*V</t>
  </si>
  <si>
    <t>Матрица X</t>
  </si>
  <si>
    <t>Матрица Y</t>
  </si>
  <si>
    <t>Матрица Z</t>
  </si>
  <si>
    <t>Матрица A1</t>
  </si>
  <si>
    <t>Матрица B1</t>
  </si>
  <si>
    <t>Матрица C1</t>
  </si>
  <si>
    <t>Матрица D1</t>
  </si>
  <si>
    <t>Матрица E1</t>
  </si>
  <si>
    <t>Матрица F1</t>
  </si>
  <si>
    <t>Матрица G1</t>
  </si>
  <si>
    <t>Матрица H1</t>
  </si>
  <si>
    <t>Матрица J1</t>
  </si>
  <si>
    <t>Матрица Y = M * KF</t>
  </si>
  <si>
    <t>Матрица X = J * KF</t>
  </si>
  <si>
    <t>Матрица U = A * KF</t>
  </si>
  <si>
    <t>Матрица V = D * KF</t>
  </si>
  <si>
    <t>Матрица W = G * KF</t>
  </si>
  <si>
    <t>KF</t>
  </si>
  <si>
    <t>Ед. матрица A</t>
  </si>
  <si>
    <t>Ед. матрица B</t>
  </si>
  <si>
    <t>Ед. матрица C</t>
  </si>
  <si>
    <t>Ед. матрица D</t>
  </si>
  <si>
    <t>Ед. матрица E</t>
  </si>
  <si>
    <t>Матрица K1</t>
  </si>
  <si>
    <t>Матрица L1</t>
  </si>
  <si>
    <t>Матрица M1</t>
  </si>
  <si>
    <t>матрица A</t>
  </si>
  <si>
    <t>матрица B</t>
  </si>
  <si>
    <t>матрица C</t>
  </si>
  <si>
    <t>матрица D</t>
  </si>
  <si>
    <t>матрица E</t>
  </si>
  <si>
    <t>матрица A(ТР)</t>
  </si>
  <si>
    <t>матрица B(ТР)</t>
  </si>
  <si>
    <t>матрица C(ТР)</t>
  </si>
  <si>
    <t>матрица D(ТР)</t>
  </si>
  <si>
    <t>матрица E(ТР)</t>
  </si>
  <si>
    <t>Определитель</t>
  </si>
  <si>
    <t>Матрица C</t>
  </si>
  <si>
    <t>Обратная матрица A</t>
  </si>
  <si>
    <t>Обратная матрица B</t>
  </si>
  <si>
    <t>Обратная матрица C</t>
  </si>
  <si>
    <t>Обратная матрица D</t>
  </si>
  <si>
    <t>Обратная матрица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</si>
</sst>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"/>
  <sheetViews>
    <sheetView zoomScale="70" zoomScaleNormal="70" workbookViewId="0">
      <selection activeCell="E28" sqref="E28:G29"/>
    </sheetView>
  </sheetViews>
  <sheetFormatPr defaultRowHeight="14.4" x14ac:dyDescent="0.3"/>
  <sheetData>
    <row r="1" spans="1:30" x14ac:dyDescent="0.3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1" t="s">
        <v>2</v>
      </c>
      <c r="L1" s="1"/>
      <c r="M1" s="1"/>
      <c r="N1" s="1"/>
      <c r="P1" s="1" t="s">
        <v>15</v>
      </c>
      <c r="Q1" s="1"/>
      <c r="R1" s="1"/>
      <c r="S1" s="1"/>
      <c r="U1" s="1" t="s">
        <v>37</v>
      </c>
      <c r="V1" s="1"/>
      <c r="W1" s="1"/>
      <c r="X1" s="1"/>
      <c r="Y1" s="9" t="s">
        <v>40</v>
      </c>
      <c r="Z1" s="2">
        <v>2</v>
      </c>
    </row>
    <row r="2" spans="1:30" x14ac:dyDescent="0.3">
      <c r="A2" s="2">
        <v>5</v>
      </c>
      <c r="B2" s="2">
        <v>3</v>
      </c>
      <c r="C2" s="2">
        <v>1</v>
      </c>
      <c r="D2" s="2">
        <v>7</v>
      </c>
      <c r="F2" s="2">
        <v>6</v>
      </c>
      <c r="G2" s="2">
        <v>7</v>
      </c>
      <c r="H2" s="2">
        <v>3</v>
      </c>
      <c r="I2" s="2">
        <v>2</v>
      </c>
      <c r="K2" s="5">
        <f>A2+F2</f>
        <v>11</v>
      </c>
      <c r="L2" s="5">
        <f t="shared" ref="L2:N2" si="0">B2+G2</f>
        <v>10</v>
      </c>
      <c r="M2" s="5">
        <f t="shared" si="0"/>
        <v>4</v>
      </c>
      <c r="N2" s="5">
        <f t="shared" si="0"/>
        <v>9</v>
      </c>
      <c r="P2" s="6">
        <f>A2-F2</f>
        <v>-1</v>
      </c>
      <c r="Q2" s="6">
        <f t="shared" ref="Q2:S5" si="1">B2-G2</f>
        <v>-4</v>
      </c>
      <c r="R2" s="6">
        <f t="shared" si="1"/>
        <v>-2</v>
      </c>
      <c r="S2" s="6">
        <f t="shared" si="1"/>
        <v>5</v>
      </c>
      <c r="V2" s="10">
        <f>$Z$1*A2</f>
        <v>10</v>
      </c>
      <c r="W2" s="10">
        <f t="shared" ref="W2:Y5" si="2">$Z$1*B2</f>
        <v>6</v>
      </c>
      <c r="X2" s="10">
        <f t="shared" si="2"/>
        <v>2</v>
      </c>
      <c r="Y2" s="10">
        <f t="shared" si="2"/>
        <v>14</v>
      </c>
    </row>
    <row r="3" spans="1:30" x14ac:dyDescent="0.3">
      <c r="A3" s="2">
        <v>1</v>
      </c>
      <c r="B3" s="2">
        <v>3</v>
      </c>
      <c r="C3" s="2">
        <v>2</v>
      </c>
      <c r="D3" s="2">
        <v>8</v>
      </c>
      <c r="F3" s="2">
        <v>9</v>
      </c>
      <c r="G3" s="2">
        <v>0</v>
      </c>
      <c r="H3" s="2">
        <v>5</v>
      </c>
      <c r="I3" s="2">
        <v>4</v>
      </c>
      <c r="K3" s="5">
        <f t="shared" ref="K3:K5" si="3">A3+F3</f>
        <v>10</v>
      </c>
      <c r="L3" s="5">
        <f t="shared" ref="L3:L5" si="4">B3+G3</f>
        <v>3</v>
      </c>
      <c r="M3" s="5">
        <f t="shared" ref="M3:M5" si="5">C3+H3</f>
        <v>7</v>
      </c>
      <c r="N3" s="5">
        <f t="shared" ref="N3:N5" si="6">D3+I3</f>
        <v>12</v>
      </c>
      <c r="P3" s="6">
        <f t="shared" ref="P3:P5" si="7">A3-F3</f>
        <v>-8</v>
      </c>
      <c r="Q3" s="6">
        <f t="shared" si="1"/>
        <v>3</v>
      </c>
      <c r="R3" s="6">
        <f t="shared" si="1"/>
        <v>-3</v>
      </c>
      <c r="S3" s="6">
        <f t="shared" si="1"/>
        <v>4</v>
      </c>
      <c r="V3" s="10">
        <f t="shared" ref="V3:V5" si="8">$Z$1*A3</f>
        <v>2</v>
      </c>
      <c r="W3" s="10">
        <f t="shared" si="2"/>
        <v>6</v>
      </c>
      <c r="X3" s="10">
        <f t="shared" si="2"/>
        <v>4</v>
      </c>
      <c r="Y3" s="10">
        <f t="shared" si="2"/>
        <v>16</v>
      </c>
    </row>
    <row r="4" spans="1:30" x14ac:dyDescent="0.3">
      <c r="A4" s="2">
        <v>9</v>
      </c>
      <c r="B4" s="2">
        <v>2</v>
      </c>
      <c r="C4" s="2">
        <v>5</v>
      </c>
      <c r="D4" s="2">
        <v>7</v>
      </c>
      <c r="F4" s="2">
        <v>1</v>
      </c>
      <c r="G4" s="2">
        <v>7</v>
      </c>
      <c r="H4" s="2">
        <v>8</v>
      </c>
      <c r="I4" s="2">
        <v>3</v>
      </c>
      <c r="K4" s="5">
        <f t="shared" si="3"/>
        <v>10</v>
      </c>
      <c r="L4" s="5">
        <f t="shared" si="4"/>
        <v>9</v>
      </c>
      <c r="M4" s="5">
        <f t="shared" si="5"/>
        <v>13</v>
      </c>
      <c r="N4" s="5">
        <f t="shared" si="6"/>
        <v>10</v>
      </c>
      <c r="P4" s="6">
        <f t="shared" si="7"/>
        <v>8</v>
      </c>
      <c r="Q4" s="6">
        <f t="shared" si="1"/>
        <v>-5</v>
      </c>
      <c r="R4" s="6">
        <f t="shared" si="1"/>
        <v>-3</v>
      </c>
      <c r="S4" s="6">
        <f t="shared" si="1"/>
        <v>4</v>
      </c>
      <c r="V4" s="10">
        <f t="shared" si="8"/>
        <v>18</v>
      </c>
      <c r="W4" s="10">
        <f t="shared" si="2"/>
        <v>4</v>
      </c>
      <c r="X4" s="10">
        <f t="shared" si="2"/>
        <v>10</v>
      </c>
      <c r="Y4" s="10">
        <f t="shared" si="2"/>
        <v>14</v>
      </c>
    </row>
    <row r="5" spans="1:30" x14ac:dyDescent="0.3">
      <c r="A5" s="2">
        <v>4</v>
      </c>
      <c r="B5" s="2">
        <v>6</v>
      </c>
      <c r="C5" s="2">
        <v>1</v>
      </c>
      <c r="D5" s="2">
        <v>8</v>
      </c>
      <c r="F5" s="2">
        <v>6</v>
      </c>
      <c r="G5" s="2">
        <v>0</v>
      </c>
      <c r="H5" s="2">
        <v>2</v>
      </c>
      <c r="I5" s="2">
        <v>5</v>
      </c>
      <c r="K5" s="5">
        <f t="shared" si="3"/>
        <v>10</v>
      </c>
      <c r="L5" s="5">
        <f t="shared" si="4"/>
        <v>6</v>
      </c>
      <c r="M5" s="5">
        <f t="shared" si="5"/>
        <v>3</v>
      </c>
      <c r="N5" s="5">
        <f t="shared" si="6"/>
        <v>13</v>
      </c>
      <c r="P5" s="6">
        <f t="shared" si="7"/>
        <v>-2</v>
      </c>
      <c r="Q5" s="6">
        <f t="shared" si="1"/>
        <v>6</v>
      </c>
      <c r="R5" s="6">
        <f t="shared" si="1"/>
        <v>-1</v>
      </c>
      <c r="S5" s="6">
        <f t="shared" si="1"/>
        <v>3</v>
      </c>
      <c r="V5" s="10">
        <f t="shared" si="8"/>
        <v>8</v>
      </c>
      <c r="W5" s="10">
        <f t="shared" si="2"/>
        <v>12</v>
      </c>
      <c r="X5" s="10">
        <f t="shared" si="2"/>
        <v>2</v>
      </c>
      <c r="Y5" s="10">
        <f t="shared" si="2"/>
        <v>16</v>
      </c>
    </row>
    <row r="7" spans="1:30" x14ac:dyDescent="0.3">
      <c r="A7" s="1" t="s">
        <v>3</v>
      </c>
      <c r="B7" s="1"/>
      <c r="C7" s="1"/>
      <c r="D7" s="1"/>
      <c r="F7" s="1" t="s">
        <v>4</v>
      </c>
      <c r="G7" s="1"/>
      <c r="H7" s="1"/>
      <c r="I7" s="1"/>
      <c r="K7" s="1" t="s">
        <v>5</v>
      </c>
      <c r="L7" s="1"/>
      <c r="M7" s="1"/>
      <c r="N7" s="1"/>
      <c r="P7" s="1" t="s">
        <v>16</v>
      </c>
      <c r="Q7" s="1"/>
      <c r="R7" s="1"/>
      <c r="S7" s="1"/>
      <c r="U7" s="1" t="s">
        <v>38</v>
      </c>
      <c r="V7" s="1"/>
      <c r="W7" s="1"/>
      <c r="X7" s="1"/>
    </row>
    <row r="8" spans="1:30" x14ac:dyDescent="0.3">
      <c r="A8" s="2">
        <v>0</v>
      </c>
      <c r="B8" s="2">
        <v>1</v>
      </c>
      <c r="C8" s="2">
        <v>2</v>
      </c>
      <c r="F8" s="2">
        <v>0</v>
      </c>
      <c r="G8" s="2">
        <v>9</v>
      </c>
      <c r="H8" s="2">
        <v>8</v>
      </c>
      <c r="K8" s="5">
        <f>A8+F8</f>
        <v>0</v>
      </c>
      <c r="L8" s="5">
        <f t="shared" ref="L8:M8" si="9">B8+G8</f>
        <v>10</v>
      </c>
      <c r="M8" s="5">
        <f t="shared" si="9"/>
        <v>10</v>
      </c>
      <c r="P8" s="6">
        <f>A8-F8</f>
        <v>0</v>
      </c>
      <c r="Q8" s="6">
        <f t="shared" ref="Q8:R12" si="10">B8-G8</f>
        <v>-8</v>
      </c>
      <c r="R8" s="6">
        <f t="shared" si="10"/>
        <v>-6</v>
      </c>
      <c r="V8" s="10">
        <f>$Z$1*A8</f>
        <v>0</v>
      </c>
      <c r="W8" s="10">
        <f t="shared" ref="W8:X12" si="11">$Z$1*B8</f>
        <v>2</v>
      </c>
      <c r="X8" s="10">
        <f t="shared" si="11"/>
        <v>4</v>
      </c>
    </row>
    <row r="9" spans="1:30" x14ac:dyDescent="0.3">
      <c r="A9" s="2">
        <v>3</v>
      </c>
      <c r="B9" s="2">
        <v>4</v>
      </c>
      <c r="C9" s="2">
        <v>5</v>
      </c>
      <c r="F9" s="2">
        <v>7</v>
      </c>
      <c r="G9" s="2">
        <v>6</v>
      </c>
      <c r="H9" s="2">
        <v>5</v>
      </c>
      <c r="K9" s="5">
        <f t="shared" ref="K9:K12" si="12">A9+F9</f>
        <v>10</v>
      </c>
      <c r="L9" s="5">
        <f t="shared" ref="L9:L12" si="13">B9+G9</f>
        <v>10</v>
      </c>
      <c r="M9" s="5">
        <f t="shared" ref="M9:M12" si="14">C9+H9</f>
        <v>10</v>
      </c>
      <c r="P9" s="6">
        <f t="shared" ref="P9:P12" si="15">A9-F9</f>
        <v>-4</v>
      </c>
      <c r="Q9" s="6">
        <f t="shared" si="10"/>
        <v>-2</v>
      </c>
      <c r="R9" s="6">
        <f t="shared" si="10"/>
        <v>0</v>
      </c>
      <c r="V9" s="10">
        <f t="shared" ref="V9:V12" si="16">$Z$1*A9</f>
        <v>6</v>
      </c>
      <c r="W9" s="10">
        <f t="shared" si="11"/>
        <v>8</v>
      </c>
      <c r="X9" s="10">
        <f t="shared" si="11"/>
        <v>10</v>
      </c>
    </row>
    <row r="10" spans="1:30" x14ac:dyDescent="0.3">
      <c r="A10" s="2">
        <v>6</v>
      </c>
      <c r="B10" s="2">
        <v>7</v>
      </c>
      <c r="C10" s="2">
        <v>8</v>
      </c>
      <c r="F10" s="2">
        <v>4</v>
      </c>
      <c r="G10" s="2">
        <v>3</v>
      </c>
      <c r="H10" s="2">
        <v>2</v>
      </c>
      <c r="K10" s="5">
        <f t="shared" si="12"/>
        <v>10</v>
      </c>
      <c r="L10" s="5">
        <f t="shared" si="13"/>
        <v>10</v>
      </c>
      <c r="M10" s="5">
        <f t="shared" si="14"/>
        <v>10</v>
      </c>
      <c r="P10" s="6">
        <f t="shared" si="15"/>
        <v>2</v>
      </c>
      <c r="Q10" s="6">
        <f t="shared" si="10"/>
        <v>4</v>
      </c>
      <c r="R10" s="6">
        <f t="shared" si="10"/>
        <v>6</v>
      </c>
      <c r="V10" s="10">
        <f t="shared" si="16"/>
        <v>12</v>
      </c>
      <c r="W10" s="10">
        <f t="shared" si="11"/>
        <v>14</v>
      </c>
      <c r="X10" s="10">
        <f t="shared" si="11"/>
        <v>16</v>
      </c>
    </row>
    <row r="11" spans="1:30" x14ac:dyDescent="0.3">
      <c r="A11" s="2">
        <v>9</v>
      </c>
      <c r="B11" s="2">
        <v>0</v>
      </c>
      <c r="C11" s="2">
        <v>9</v>
      </c>
      <c r="F11" s="2">
        <v>1</v>
      </c>
      <c r="G11" s="2">
        <v>0</v>
      </c>
      <c r="H11" s="2">
        <v>1</v>
      </c>
      <c r="K11" s="5">
        <f t="shared" si="12"/>
        <v>10</v>
      </c>
      <c r="L11" s="5">
        <f t="shared" si="13"/>
        <v>0</v>
      </c>
      <c r="M11" s="5">
        <f t="shared" si="14"/>
        <v>10</v>
      </c>
      <c r="P11" s="6">
        <f t="shared" si="15"/>
        <v>8</v>
      </c>
      <c r="Q11" s="6">
        <f t="shared" si="10"/>
        <v>0</v>
      </c>
      <c r="R11" s="6">
        <f t="shared" si="10"/>
        <v>8</v>
      </c>
      <c r="V11" s="10">
        <f t="shared" si="16"/>
        <v>18</v>
      </c>
      <c r="W11" s="10">
        <f t="shared" si="11"/>
        <v>0</v>
      </c>
      <c r="X11" s="10">
        <f t="shared" si="11"/>
        <v>18</v>
      </c>
    </row>
    <row r="12" spans="1:30" x14ac:dyDescent="0.3">
      <c r="A12" s="2">
        <v>8</v>
      </c>
      <c r="B12" s="2">
        <v>7</v>
      </c>
      <c r="C12" s="2">
        <v>6</v>
      </c>
      <c r="F12" s="2">
        <v>2</v>
      </c>
      <c r="G12" s="2">
        <v>3</v>
      </c>
      <c r="H12" s="2">
        <v>4</v>
      </c>
      <c r="K12" s="5">
        <f t="shared" si="12"/>
        <v>10</v>
      </c>
      <c r="L12" s="5">
        <f t="shared" si="13"/>
        <v>10</v>
      </c>
      <c r="M12" s="5">
        <f t="shared" si="14"/>
        <v>10</v>
      </c>
      <c r="P12" s="6">
        <f t="shared" si="15"/>
        <v>6</v>
      </c>
      <c r="Q12" s="6">
        <f t="shared" si="10"/>
        <v>4</v>
      </c>
      <c r="R12" s="6">
        <f t="shared" si="10"/>
        <v>2</v>
      </c>
      <c r="V12" s="10">
        <f t="shared" si="16"/>
        <v>16</v>
      </c>
      <c r="W12" s="10">
        <f t="shared" si="11"/>
        <v>14</v>
      </c>
      <c r="X12" s="10">
        <f t="shared" si="11"/>
        <v>12</v>
      </c>
    </row>
    <row r="14" spans="1:30" x14ac:dyDescent="0.3">
      <c r="A14" s="1" t="s">
        <v>6</v>
      </c>
      <c r="B14" s="1"/>
      <c r="C14" s="1"/>
      <c r="D14" s="1"/>
      <c r="E14" s="1"/>
      <c r="G14" s="1" t="s">
        <v>7</v>
      </c>
      <c r="H14" s="1"/>
      <c r="I14" s="1"/>
      <c r="J14" s="1"/>
      <c r="K14" s="1"/>
      <c r="M14" s="1" t="s">
        <v>8</v>
      </c>
      <c r="N14" s="1"/>
      <c r="O14" s="1"/>
      <c r="P14" s="1"/>
      <c r="Q14" s="1"/>
      <c r="S14" s="1" t="s">
        <v>17</v>
      </c>
      <c r="T14" s="1"/>
      <c r="U14" s="1"/>
      <c r="V14" s="1"/>
      <c r="W14" s="1"/>
      <c r="Y14" s="1" t="s">
        <v>39</v>
      </c>
      <c r="Z14" s="1"/>
      <c r="AA14" s="1"/>
      <c r="AB14" s="1"/>
      <c r="AC14" s="1"/>
    </row>
    <row r="15" spans="1:30" x14ac:dyDescent="0.3">
      <c r="A15" s="2">
        <v>1</v>
      </c>
      <c r="B15" s="2">
        <v>0</v>
      </c>
      <c r="C15" s="2">
        <v>0</v>
      </c>
      <c r="D15" s="2">
        <v>0</v>
      </c>
      <c r="E15" s="2">
        <v>0</v>
      </c>
      <c r="G15" s="2">
        <v>7</v>
      </c>
      <c r="H15" s="2">
        <v>0</v>
      </c>
      <c r="I15" s="2">
        <v>9</v>
      </c>
      <c r="J15" s="2">
        <v>0</v>
      </c>
      <c r="K15" s="2">
        <v>1</v>
      </c>
      <c r="M15" s="5">
        <f>A15+G15</f>
        <v>8</v>
      </c>
      <c r="N15" s="5">
        <f t="shared" ref="N15:Q15" si="17">B15+H15</f>
        <v>0</v>
      </c>
      <c r="O15" s="5">
        <f t="shared" si="17"/>
        <v>9</v>
      </c>
      <c r="P15" s="5">
        <f t="shared" si="17"/>
        <v>0</v>
      </c>
      <c r="Q15" s="5">
        <f t="shared" si="17"/>
        <v>1</v>
      </c>
      <c r="S15" s="6">
        <f>A15-G15</f>
        <v>-6</v>
      </c>
      <c r="T15" s="6">
        <f t="shared" ref="T15:W19" si="18">B15-H15</f>
        <v>0</v>
      </c>
      <c r="U15" s="6">
        <f t="shared" si="18"/>
        <v>-9</v>
      </c>
      <c r="V15" s="6">
        <f t="shared" si="18"/>
        <v>0</v>
      </c>
      <c r="W15" s="6">
        <f t="shared" si="18"/>
        <v>-1</v>
      </c>
      <c r="Z15" s="10">
        <f>$Z$1*A15</f>
        <v>2</v>
      </c>
      <c r="AA15" s="10">
        <f t="shared" ref="AA15:AD19" si="19">$Z$1*B15</f>
        <v>0</v>
      </c>
      <c r="AB15" s="10">
        <f t="shared" si="19"/>
        <v>0</v>
      </c>
      <c r="AC15" s="10">
        <f t="shared" si="19"/>
        <v>0</v>
      </c>
      <c r="AD15" s="10">
        <f t="shared" si="19"/>
        <v>0</v>
      </c>
    </row>
    <row r="16" spans="1:30" x14ac:dyDescent="0.3">
      <c r="A16" s="2">
        <v>0</v>
      </c>
      <c r="B16" s="2">
        <v>6</v>
      </c>
      <c r="C16" s="2">
        <v>0</v>
      </c>
      <c r="D16" s="2">
        <v>0</v>
      </c>
      <c r="E16" s="2">
        <v>0</v>
      </c>
      <c r="G16" s="2">
        <v>0</v>
      </c>
      <c r="H16" s="2">
        <v>8</v>
      </c>
      <c r="I16" s="2">
        <v>6</v>
      </c>
      <c r="J16" s="2">
        <v>5</v>
      </c>
      <c r="K16" s="2">
        <v>0</v>
      </c>
      <c r="M16" s="5">
        <f t="shared" ref="M16:M19" si="20">A16+G16</f>
        <v>0</v>
      </c>
      <c r="N16" s="5">
        <f t="shared" ref="N16:N19" si="21">B16+H16</f>
        <v>14</v>
      </c>
      <c r="O16" s="5">
        <f t="shared" ref="O16:O19" si="22">C16+I16</f>
        <v>6</v>
      </c>
      <c r="P16" s="5">
        <f t="shared" ref="P16:P19" si="23">D16+J16</f>
        <v>5</v>
      </c>
      <c r="Q16" s="5">
        <f t="shared" ref="Q16:Q19" si="24">E16+K16</f>
        <v>0</v>
      </c>
      <c r="S16" s="6">
        <f t="shared" ref="S16:S19" si="25">A16-G16</f>
        <v>0</v>
      </c>
      <c r="T16" s="6">
        <f t="shared" si="18"/>
        <v>-2</v>
      </c>
      <c r="U16" s="6">
        <f t="shared" si="18"/>
        <v>-6</v>
      </c>
      <c r="V16" s="6">
        <f t="shared" si="18"/>
        <v>-5</v>
      </c>
      <c r="W16" s="6">
        <f t="shared" si="18"/>
        <v>0</v>
      </c>
      <c r="Z16" s="10">
        <f t="shared" ref="Z16:Z19" si="26">$Z$1*A16</f>
        <v>0</v>
      </c>
      <c r="AA16" s="10">
        <f t="shared" si="19"/>
        <v>12</v>
      </c>
      <c r="AB16" s="10">
        <f t="shared" si="19"/>
        <v>0</v>
      </c>
      <c r="AC16" s="10">
        <f t="shared" si="19"/>
        <v>0</v>
      </c>
      <c r="AD16" s="10">
        <f t="shared" si="19"/>
        <v>0</v>
      </c>
    </row>
    <row r="17" spans="1:30" x14ac:dyDescent="0.3">
      <c r="A17" s="2">
        <v>0</v>
      </c>
      <c r="B17" s="2">
        <v>0</v>
      </c>
      <c r="C17" s="2">
        <v>7</v>
      </c>
      <c r="D17" s="2">
        <v>0</v>
      </c>
      <c r="E17" s="2">
        <v>0</v>
      </c>
      <c r="G17" s="2">
        <v>9</v>
      </c>
      <c r="H17" s="2">
        <v>6</v>
      </c>
      <c r="I17" s="2">
        <v>5</v>
      </c>
      <c r="J17" s="2">
        <v>3</v>
      </c>
      <c r="K17" s="2">
        <v>4</v>
      </c>
      <c r="M17" s="5">
        <f t="shared" si="20"/>
        <v>9</v>
      </c>
      <c r="N17" s="5">
        <f t="shared" si="21"/>
        <v>6</v>
      </c>
      <c r="O17" s="5">
        <f t="shared" si="22"/>
        <v>12</v>
      </c>
      <c r="P17" s="5">
        <f t="shared" si="23"/>
        <v>3</v>
      </c>
      <c r="Q17" s="5">
        <f t="shared" si="24"/>
        <v>4</v>
      </c>
      <c r="S17" s="6">
        <f t="shared" si="25"/>
        <v>-9</v>
      </c>
      <c r="T17" s="6">
        <f t="shared" si="18"/>
        <v>-6</v>
      </c>
      <c r="U17" s="6">
        <f t="shared" si="18"/>
        <v>2</v>
      </c>
      <c r="V17" s="6">
        <f t="shared" si="18"/>
        <v>-3</v>
      </c>
      <c r="W17" s="6">
        <f t="shared" si="18"/>
        <v>-4</v>
      </c>
      <c r="Z17" s="10">
        <f t="shared" si="26"/>
        <v>0</v>
      </c>
      <c r="AA17" s="10">
        <f t="shared" si="19"/>
        <v>0</v>
      </c>
      <c r="AB17" s="10">
        <f t="shared" si="19"/>
        <v>14</v>
      </c>
      <c r="AC17" s="10">
        <f t="shared" si="19"/>
        <v>0</v>
      </c>
      <c r="AD17" s="10">
        <f t="shared" si="19"/>
        <v>0</v>
      </c>
    </row>
    <row r="18" spans="1:30" x14ac:dyDescent="0.3">
      <c r="A18" s="2">
        <v>0</v>
      </c>
      <c r="B18" s="2">
        <v>0</v>
      </c>
      <c r="C18" s="2">
        <v>0</v>
      </c>
      <c r="D18" s="2">
        <v>3</v>
      </c>
      <c r="E18" s="2">
        <v>0</v>
      </c>
      <c r="G18" s="2">
        <v>0</v>
      </c>
      <c r="H18" s="2">
        <v>5</v>
      </c>
      <c r="I18" s="2">
        <v>3</v>
      </c>
      <c r="J18" s="2">
        <v>2</v>
      </c>
      <c r="K18" s="2">
        <v>0</v>
      </c>
      <c r="M18" s="5">
        <f t="shared" si="20"/>
        <v>0</v>
      </c>
      <c r="N18" s="5">
        <f t="shared" si="21"/>
        <v>5</v>
      </c>
      <c r="O18" s="5">
        <f t="shared" si="22"/>
        <v>3</v>
      </c>
      <c r="P18" s="5">
        <f t="shared" si="23"/>
        <v>5</v>
      </c>
      <c r="Q18" s="5">
        <f t="shared" si="24"/>
        <v>0</v>
      </c>
      <c r="S18" s="6">
        <f t="shared" si="25"/>
        <v>0</v>
      </c>
      <c r="T18" s="6">
        <f t="shared" si="18"/>
        <v>-5</v>
      </c>
      <c r="U18" s="6">
        <f t="shared" si="18"/>
        <v>-3</v>
      </c>
      <c r="V18" s="6">
        <f t="shared" si="18"/>
        <v>1</v>
      </c>
      <c r="W18" s="6">
        <f t="shared" si="18"/>
        <v>0</v>
      </c>
      <c r="Z18" s="10">
        <f t="shared" si="26"/>
        <v>0</v>
      </c>
      <c r="AA18" s="10">
        <f t="shared" si="19"/>
        <v>0</v>
      </c>
      <c r="AB18" s="10">
        <f t="shared" si="19"/>
        <v>0</v>
      </c>
      <c r="AC18" s="10">
        <f t="shared" si="19"/>
        <v>6</v>
      </c>
      <c r="AD18" s="10">
        <f t="shared" si="19"/>
        <v>0</v>
      </c>
    </row>
    <row r="19" spans="1:30" x14ac:dyDescent="0.3">
      <c r="A19" s="2">
        <v>0</v>
      </c>
      <c r="B19" s="2">
        <v>0</v>
      </c>
      <c r="C19" s="2">
        <v>0</v>
      </c>
      <c r="D19" s="2">
        <v>0</v>
      </c>
      <c r="E19" s="2">
        <v>9</v>
      </c>
      <c r="G19" s="2">
        <v>1</v>
      </c>
      <c r="H19" s="2">
        <v>0</v>
      </c>
      <c r="I19" s="2">
        <v>4</v>
      </c>
      <c r="J19" s="2">
        <v>0</v>
      </c>
      <c r="K19" s="2">
        <v>3</v>
      </c>
      <c r="M19" s="5">
        <f t="shared" si="20"/>
        <v>1</v>
      </c>
      <c r="N19" s="5">
        <f t="shared" si="21"/>
        <v>0</v>
      </c>
      <c r="O19" s="5">
        <f t="shared" si="22"/>
        <v>4</v>
      </c>
      <c r="P19" s="5">
        <f t="shared" si="23"/>
        <v>0</v>
      </c>
      <c r="Q19" s="5">
        <f t="shared" si="24"/>
        <v>12</v>
      </c>
      <c r="S19" s="6">
        <f t="shared" si="25"/>
        <v>-1</v>
      </c>
      <c r="T19" s="6">
        <f t="shared" si="18"/>
        <v>0</v>
      </c>
      <c r="U19" s="6">
        <f t="shared" si="18"/>
        <v>-4</v>
      </c>
      <c r="V19" s="6">
        <f t="shared" si="18"/>
        <v>0</v>
      </c>
      <c r="W19" s="6">
        <f t="shared" si="18"/>
        <v>6</v>
      </c>
      <c r="Z19" s="10">
        <f t="shared" si="26"/>
        <v>0</v>
      </c>
      <c r="AA19" s="10">
        <f t="shared" si="19"/>
        <v>0</v>
      </c>
      <c r="AB19" s="10">
        <f t="shared" si="19"/>
        <v>0</v>
      </c>
      <c r="AC19" s="10">
        <f t="shared" si="19"/>
        <v>0</v>
      </c>
      <c r="AD19" s="10">
        <f t="shared" si="19"/>
        <v>18</v>
      </c>
    </row>
    <row r="21" spans="1:30" x14ac:dyDescent="0.3">
      <c r="A21" s="1" t="s">
        <v>9</v>
      </c>
      <c r="B21" s="1"/>
      <c r="D21" s="1" t="s">
        <v>10</v>
      </c>
      <c r="E21" s="1"/>
      <c r="G21" s="4" t="s">
        <v>12</v>
      </c>
      <c r="H21" s="4"/>
      <c r="J21" s="4" t="s">
        <v>18</v>
      </c>
      <c r="K21" s="4"/>
      <c r="M21" s="4" t="s">
        <v>36</v>
      </c>
      <c r="N21" s="4"/>
    </row>
    <row r="22" spans="1:30" x14ac:dyDescent="0.3">
      <c r="A22" s="2">
        <v>9</v>
      </c>
      <c r="B22" s="2">
        <v>2</v>
      </c>
      <c r="D22" s="2">
        <v>0</v>
      </c>
      <c r="E22" s="2">
        <v>0</v>
      </c>
      <c r="G22" s="5">
        <f>A22+D22</f>
        <v>9</v>
      </c>
      <c r="H22" s="5">
        <f>B22+E22</f>
        <v>2</v>
      </c>
      <c r="J22" s="6">
        <f>A22-D22</f>
        <v>9</v>
      </c>
      <c r="K22" s="6">
        <f>B22-E22</f>
        <v>2</v>
      </c>
      <c r="M22" s="10">
        <f>$Z$1*A22</f>
        <v>18</v>
      </c>
      <c r="N22" s="10">
        <f>$Z$1*B22</f>
        <v>4</v>
      </c>
    </row>
    <row r="23" spans="1:30" x14ac:dyDescent="0.3">
      <c r="A23" s="2">
        <v>0</v>
      </c>
      <c r="B23" s="2">
        <v>8</v>
      </c>
      <c r="D23" s="2">
        <v>6</v>
      </c>
      <c r="E23" s="2">
        <v>0</v>
      </c>
      <c r="G23" s="5">
        <f t="shared" ref="G23:G24" si="27">A23+D23</f>
        <v>6</v>
      </c>
      <c r="H23" s="5">
        <f t="shared" ref="H23:H24" si="28">B23+E23</f>
        <v>8</v>
      </c>
      <c r="J23" s="6">
        <f t="shared" ref="J23:K24" si="29">A23-D23</f>
        <v>-6</v>
      </c>
      <c r="K23" s="6">
        <f t="shared" si="29"/>
        <v>8</v>
      </c>
      <c r="M23" s="10">
        <f t="shared" ref="M23:N24" si="30">$Z$1*A23</f>
        <v>0</v>
      </c>
      <c r="N23" s="10">
        <f t="shared" si="30"/>
        <v>16</v>
      </c>
    </row>
    <row r="24" spans="1:30" x14ac:dyDescent="0.3">
      <c r="A24" s="2">
        <v>0</v>
      </c>
      <c r="B24" s="2">
        <v>0</v>
      </c>
      <c r="D24" s="2">
        <v>5</v>
      </c>
      <c r="E24" s="2">
        <v>4</v>
      </c>
      <c r="G24" s="5">
        <f t="shared" si="27"/>
        <v>5</v>
      </c>
      <c r="H24" s="5">
        <f t="shared" si="28"/>
        <v>4</v>
      </c>
      <c r="J24" s="6">
        <f t="shared" si="29"/>
        <v>-5</v>
      </c>
      <c r="K24" s="6">
        <f t="shared" si="29"/>
        <v>-4</v>
      </c>
      <c r="M24" s="10">
        <f t="shared" si="30"/>
        <v>0</v>
      </c>
      <c r="N24" s="10">
        <f t="shared" si="30"/>
        <v>0</v>
      </c>
    </row>
    <row r="26" spans="1:30" x14ac:dyDescent="0.3">
      <c r="A26" s="1" t="s">
        <v>11</v>
      </c>
      <c r="B26" s="1"/>
      <c r="E26" s="1" t="s">
        <v>13</v>
      </c>
      <c r="F26" s="1"/>
      <c r="I26" s="1" t="s">
        <v>14</v>
      </c>
      <c r="J26" s="1"/>
      <c r="M26" s="1" t="s">
        <v>19</v>
      </c>
      <c r="N26" s="1"/>
      <c r="Q26" s="1" t="s">
        <v>35</v>
      </c>
      <c r="R26" s="1"/>
    </row>
    <row r="27" spans="1:30" x14ac:dyDescent="0.3">
      <c r="A27" s="2">
        <v>0</v>
      </c>
      <c r="B27" s="2">
        <v>1</v>
      </c>
      <c r="C27" s="2">
        <v>2</v>
      </c>
      <c r="E27" s="2">
        <v>0</v>
      </c>
      <c r="F27" s="2">
        <v>1</v>
      </c>
      <c r="G27" s="2">
        <v>2</v>
      </c>
      <c r="I27" s="5">
        <f>A27+E27</f>
        <v>0</v>
      </c>
      <c r="J27" s="5">
        <f t="shared" ref="J27:K30" si="31">B27+F27</f>
        <v>2</v>
      </c>
      <c r="K27" s="5">
        <f t="shared" si="31"/>
        <v>4</v>
      </c>
      <c r="M27" s="6">
        <f>A27-E27</f>
        <v>0</v>
      </c>
      <c r="N27" s="6">
        <f t="shared" ref="N27:O30" si="32">B27-F27</f>
        <v>0</v>
      </c>
      <c r="O27" s="6">
        <f t="shared" si="32"/>
        <v>0</v>
      </c>
      <c r="Q27" s="10">
        <f>$Z$1*A27</f>
        <v>0</v>
      </c>
      <c r="R27" s="10">
        <f t="shared" ref="R27:S30" si="33">$Z$1*B27</f>
        <v>2</v>
      </c>
      <c r="S27" s="10">
        <f t="shared" si="33"/>
        <v>4</v>
      </c>
    </row>
    <row r="28" spans="1:30" x14ac:dyDescent="0.3">
      <c r="A28" s="2">
        <v>3</v>
      </c>
      <c r="B28" s="2">
        <v>4</v>
      </c>
      <c r="C28" s="2">
        <v>5</v>
      </c>
      <c r="E28" s="2">
        <v>3</v>
      </c>
      <c r="F28" s="2">
        <v>4</v>
      </c>
      <c r="G28" s="2">
        <v>5</v>
      </c>
      <c r="I28" s="5">
        <f t="shared" ref="I28:I30" si="34">A28+E28</f>
        <v>6</v>
      </c>
      <c r="J28" s="5">
        <f t="shared" si="31"/>
        <v>8</v>
      </c>
      <c r="K28" s="5">
        <f t="shared" si="31"/>
        <v>10</v>
      </c>
      <c r="M28" s="6">
        <f t="shared" ref="M28:M30" si="35">A28-E28</f>
        <v>0</v>
      </c>
      <c r="N28" s="6">
        <f t="shared" si="32"/>
        <v>0</v>
      </c>
      <c r="O28" s="6">
        <f t="shared" si="32"/>
        <v>0</v>
      </c>
      <c r="Q28" s="10">
        <f t="shared" ref="Q28:Q30" si="36">$Z$1*A28</f>
        <v>6</v>
      </c>
      <c r="R28" s="10">
        <f t="shared" si="33"/>
        <v>8</v>
      </c>
      <c r="S28" s="10">
        <f t="shared" si="33"/>
        <v>10</v>
      </c>
    </row>
    <row r="29" spans="1:30" x14ac:dyDescent="0.3">
      <c r="A29" s="2">
        <v>6</v>
      </c>
      <c r="B29" s="2">
        <v>7</v>
      </c>
      <c r="C29" s="2">
        <v>8</v>
      </c>
      <c r="E29" s="2">
        <v>6</v>
      </c>
      <c r="F29" s="2">
        <v>7</v>
      </c>
      <c r="G29" s="2">
        <v>8</v>
      </c>
      <c r="I29" s="5">
        <f t="shared" si="34"/>
        <v>12</v>
      </c>
      <c r="J29" s="5">
        <f t="shared" si="31"/>
        <v>14</v>
      </c>
      <c r="K29" s="5">
        <f t="shared" si="31"/>
        <v>16</v>
      </c>
      <c r="M29" s="6">
        <f t="shared" si="35"/>
        <v>0</v>
      </c>
      <c r="N29" s="6">
        <f t="shared" si="32"/>
        <v>0</v>
      </c>
      <c r="O29" s="6">
        <f t="shared" si="32"/>
        <v>0</v>
      </c>
      <c r="Q29" s="10">
        <f t="shared" si="36"/>
        <v>12</v>
      </c>
      <c r="R29" s="10">
        <f t="shared" si="33"/>
        <v>14</v>
      </c>
      <c r="S29" s="10">
        <f t="shared" si="33"/>
        <v>16</v>
      </c>
    </row>
    <row r="30" spans="1:30" x14ac:dyDescent="0.3">
      <c r="A30" s="2">
        <v>9</v>
      </c>
      <c r="B30" s="2">
        <v>0</v>
      </c>
      <c r="C30" s="2">
        <v>9</v>
      </c>
      <c r="E30" s="2">
        <v>9</v>
      </c>
      <c r="F30" s="2">
        <v>0</v>
      </c>
      <c r="G30" s="2">
        <v>9</v>
      </c>
      <c r="I30" s="5">
        <f t="shared" si="34"/>
        <v>18</v>
      </c>
      <c r="J30" s="5">
        <f t="shared" si="31"/>
        <v>0</v>
      </c>
      <c r="K30" s="5">
        <f t="shared" si="31"/>
        <v>18</v>
      </c>
      <c r="M30" s="6">
        <f t="shared" si="35"/>
        <v>0</v>
      </c>
      <c r="N30" s="6">
        <f t="shared" si="32"/>
        <v>0</v>
      </c>
      <c r="O30" s="6">
        <f t="shared" si="32"/>
        <v>0</v>
      </c>
      <c r="Q30" s="10">
        <f t="shared" si="36"/>
        <v>18</v>
      </c>
      <c r="R30" s="10">
        <f t="shared" si="33"/>
        <v>0</v>
      </c>
      <c r="S30" s="10">
        <f t="shared" si="33"/>
        <v>18</v>
      </c>
    </row>
  </sheetData>
  <mergeCells count="25">
    <mergeCell ref="U1:X1"/>
    <mergeCell ref="U7:X7"/>
    <mergeCell ref="Y14:AC14"/>
    <mergeCell ref="M21:N21"/>
    <mergeCell ref="Q26:R26"/>
    <mergeCell ref="P1:S1"/>
    <mergeCell ref="P7:S7"/>
    <mergeCell ref="S14:W14"/>
    <mergeCell ref="J21:K21"/>
    <mergeCell ref="M26:N26"/>
    <mergeCell ref="A14:E14"/>
    <mergeCell ref="G14:K14"/>
    <mergeCell ref="M14:Q14"/>
    <mergeCell ref="A21:B21"/>
    <mergeCell ref="D21:E21"/>
    <mergeCell ref="A26:B26"/>
    <mergeCell ref="G21:H21"/>
    <mergeCell ref="E26:F26"/>
    <mergeCell ref="I26:J26"/>
    <mergeCell ref="A1:D1"/>
    <mergeCell ref="F1:I1"/>
    <mergeCell ref="K1:N1"/>
    <mergeCell ref="A7:D7"/>
    <mergeCell ref="F7:I7"/>
    <mergeCell ref="K7:N7"/>
  </mergeCells>
  <pageMargins left="0.7" right="0.7" top="0.75" bottom="0.75" header="0.3" footer="0.3"/>
  <pageSetup paperSize="9" orientation="portrait" r:id="rId1"/>
  <headerFooter>
    <oddHeader xml:space="preserve">&amp;LШульга Евгений Евгениевич 2.1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E245-A1AD-4E82-91B0-9B6E32DDF030}">
  <dimension ref="A1:I22"/>
  <sheetViews>
    <sheetView workbookViewId="0">
      <selection activeCell="A14" sqref="A14:E18"/>
    </sheetView>
  </sheetViews>
  <sheetFormatPr defaultRowHeight="14.4" x14ac:dyDescent="0.3"/>
  <sheetData>
    <row r="1" spans="1:9" x14ac:dyDescent="0.3">
      <c r="A1" s="1" t="s">
        <v>41</v>
      </c>
      <c r="B1" s="1"/>
      <c r="G1" s="1" t="s">
        <v>42</v>
      </c>
      <c r="H1" s="1"/>
    </row>
    <row r="2" spans="1:9" x14ac:dyDescent="0.3">
      <c r="A2" s="11">
        <f t="array" ref="A2:E6">_xlfn.MUNIT(5)</f>
        <v>1</v>
      </c>
      <c r="B2" s="11">
        <v>0</v>
      </c>
      <c r="C2" s="11">
        <v>0</v>
      </c>
      <c r="D2" s="11">
        <v>0</v>
      </c>
      <c r="E2" s="11">
        <v>0</v>
      </c>
      <c r="G2" s="11">
        <f t="array" ref="G2:I4">_xlfn.MUNIT(3)</f>
        <v>1</v>
      </c>
      <c r="H2" s="11">
        <v>0</v>
      </c>
      <c r="I2" s="11">
        <v>0</v>
      </c>
    </row>
    <row r="3" spans="1:9" x14ac:dyDescent="0.3">
      <c r="A3" s="11">
        <v>0</v>
      </c>
      <c r="B3" s="11">
        <v>1</v>
      </c>
      <c r="C3" s="11">
        <v>0</v>
      </c>
      <c r="D3" s="11">
        <v>0</v>
      </c>
      <c r="E3" s="11">
        <v>0</v>
      </c>
      <c r="G3" s="11">
        <v>0</v>
      </c>
      <c r="H3" s="11">
        <v>1</v>
      </c>
      <c r="I3" s="11">
        <v>0</v>
      </c>
    </row>
    <row r="4" spans="1:9" x14ac:dyDescent="0.3">
      <c r="A4" s="11">
        <v>0</v>
      </c>
      <c r="B4" s="11">
        <v>0</v>
      </c>
      <c r="C4" s="11">
        <v>1</v>
      </c>
      <c r="D4" s="11">
        <v>0</v>
      </c>
      <c r="E4" s="11">
        <v>0</v>
      </c>
      <c r="G4" s="11">
        <v>0</v>
      </c>
      <c r="H4" s="11">
        <v>0</v>
      </c>
      <c r="I4" s="11">
        <v>1</v>
      </c>
    </row>
    <row r="5" spans="1:9" x14ac:dyDescent="0.3">
      <c r="A5" s="11">
        <v>0</v>
      </c>
      <c r="B5" s="11">
        <v>0</v>
      </c>
      <c r="C5" s="11">
        <v>0</v>
      </c>
      <c r="D5" s="11">
        <v>1</v>
      </c>
      <c r="E5" s="11">
        <v>0</v>
      </c>
    </row>
    <row r="6" spans="1:9" x14ac:dyDescent="0.3">
      <c r="A6" s="11">
        <v>0</v>
      </c>
      <c r="B6" s="11">
        <v>0</v>
      </c>
      <c r="C6" s="11">
        <v>0</v>
      </c>
      <c r="D6" s="11">
        <v>0</v>
      </c>
      <c r="E6" s="11">
        <v>1</v>
      </c>
    </row>
    <row r="7" spans="1:9" x14ac:dyDescent="0.3">
      <c r="A7" s="1" t="s">
        <v>43</v>
      </c>
      <c r="B7" s="1"/>
      <c r="G7" s="1" t="s">
        <v>44</v>
      </c>
      <c r="H7" s="1"/>
    </row>
    <row r="8" spans="1:9" x14ac:dyDescent="0.3">
      <c r="A8" s="11">
        <f t="array" ref="A8:D11">_xlfn.MUNIT(4)</f>
        <v>1</v>
      </c>
      <c r="B8" s="11">
        <v>0</v>
      </c>
      <c r="C8" s="11">
        <v>0</v>
      </c>
      <c r="D8" s="11">
        <v>0</v>
      </c>
      <c r="G8" s="11">
        <f t="array" ref="G8:H9">_xlfn.MUNIT(2)</f>
        <v>1</v>
      </c>
      <c r="H8" s="11">
        <v>0</v>
      </c>
    </row>
    <row r="9" spans="1:9" x14ac:dyDescent="0.3">
      <c r="A9" s="11">
        <v>0</v>
      </c>
      <c r="B9" s="11">
        <v>1</v>
      </c>
      <c r="C9" s="11">
        <v>0</v>
      </c>
      <c r="D9" s="11">
        <v>0</v>
      </c>
      <c r="G9" s="11">
        <v>0</v>
      </c>
      <c r="H9" s="11">
        <v>1</v>
      </c>
    </row>
    <row r="10" spans="1:9" x14ac:dyDescent="0.3">
      <c r="A10" s="11">
        <v>0</v>
      </c>
      <c r="B10" s="11">
        <v>0</v>
      </c>
      <c r="C10" s="11">
        <v>1</v>
      </c>
      <c r="D10" s="11">
        <v>0</v>
      </c>
    </row>
    <row r="11" spans="1:9" x14ac:dyDescent="0.3">
      <c r="A11" s="11">
        <v>0</v>
      </c>
      <c r="B11" s="11">
        <v>0</v>
      </c>
      <c r="C11" s="11">
        <v>0</v>
      </c>
      <c r="D11" s="11">
        <v>1</v>
      </c>
    </row>
    <row r="13" spans="1:9" x14ac:dyDescent="0.3">
      <c r="A13" s="4" t="s">
        <v>45</v>
      </c>
      <c r="B13" s="4"/>
      <c r="C13" s="4"/>
      <c r="D13" s="4"/>
      <c r="E13" s="4"/>
      <c r="F13" s="4"/>
      <c r="G13" s="4"/>
      <c r="H13" s="4"/>
      <c r="I13" s="4"/>
    </row>
    <row r="14" spans="1:9" x14ac:dyDescent="0.3">
      <c r="A14" s="11">
        <f t="array" ref="A14:I22">_xlfn.MUNIT(9)</f>
        <v>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</row>
    <row r="15" spans="1:9" x14ac:dyDescent="0.3">
      <c r="A15" s="11">
        <v>0</v>
      </c>
      <c r="B15" s="11">
        <v>1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</row>
    <row r="16" spans="1:9" x14ac:dyDescent="0.3">
      <c r="A16" s="11">
        <v>0</v>
      </c>
      <c r="B16" s="11">
        <v>0</v>
      </c>
      <c r="C16" s="11">
        <v>1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</row>
    <row r="17" spans="1:9" x14ac:dyDescent="0.3">
      <c r="A17" s="11">
        <v>0</v>
      </c>
      <c r="B17" s="11">
        <v>0</v>
      </c>
      <c r="C17" s="11">
        <v>0</v>
      </c>
      <c r="D17" s="11">
        <v>1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</row>
    <row r="18" spans="1:9" x14ac:dyDescent="0.3">
      <c r="A18" s="11">
        <v>0</v>
      </c>
      <c r="B18" s="11">
        <v>0</v>
      </c>
      <c r="C18" s="11">
        <v>0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</row>
    <row r="19" spans="1:9" x14ac:dyDescent="0.3">
      <c r="A19" s="11">
        <v>0</v>
      </c>
      <c r="B19" s="11">
        <v>0</v>
      </c>
      <c r="C19" s="11">
        <v>0</v>
      </c>
      <c r="D19" s="11">
        <v>0</v>
      </c>
      <c r="E19" s="11">
        <v>0</v>
      </c>
      <c r="F19" s="11">
        <v>1</v>
      </c>
      <c r="G19" s="11">
        <v>0</v>
      </c>
      <c r="H19" s="11">
        <v>0</v>
      </c>
      <c r="I19" s="11">
        <v>0</v>
      </c>
    </row>
    <row r="20" spans="1:9" x14ac:dyDescent="0.3">
      <c r="A20" s="11">
        <v>0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1</v>
      </c>
      <c r="H20" s="11">
        <v>0</v>
      </c>
      <c r="I20" s="11">
        <v>0</v>
      </c>
    </row>
    <row r="21" spans="1:9" x14ac:dyDescent="0.3">
      <c r="A21" s="11">
        <v>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1</v>
      </c>
      <c r="I21" s="11">
        <v>0</v>
      </c>
    </row>
    <row r="22" spans="1:9" x14ac:dyDescent="0.3">
      <c r="A22" s="11">
        <v>0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1</v>
      </c>
    </row>
  </sheetData>
  <mergeCells count="5">
    <mergeCell ref="A1:B1"/>
    <mergeCell ref="A7:B7"/>
    <mergeCell ref="G1:H1"/>
    <mergeCell ref="G7:H7"/>
    <mergeCell ref="A13:I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0DD0-9DF6-43B5-858A-BB7551D9C25F}">
  <dimension ref="A1:S37"/>
  <sheetViews>
    <sheetView workbookViewId="0">
      <selection activeCell="B3" sqref="B3:C4"/>
    </sheetView>
  </sheetViews>
  <sheetFormatPr defaultRowHeight="14.4" x14ac:dyDescent="0.3"/>
  <sheetData>
    <row r="1" spans="1:19" x14ac:dyDescent="0.3">
      <c r="A1" s="1" t="s">
        <v>20</v>
      </c>
      <c r="B1" s="1"/>
      <c r="F1" s="1" t="s">
        <v>21</v>
      </c>
      <c r="G1" s="1"/>
      <c r="J1" s="1" t="s">
        <v>22</v>
      </c>
      <c r="K1" s="1"/>
    </row>
    <row r="2" spans="1:19" x14ac:dyDescent="0.3">
      <c r="A2" s="2">
        <v>5</v>
      </c>
      <c r="B2" s="2">
        <v>3</v>
      </c>
      <c r="C2" s="2">
        <v>1</v>
      </c>
      <c r="D2" s="2">
        <v>7</v>
      </c>
      <c r="F2" s="2">
        <v>0</v>
      </c>
      <c r="G2" s="2">
        <v>9</v>
      </c>
      <c r="H2" s="2">
        <v>8</v>
      </c>
      <c r="J2" s="7">
        <f t="array" ref="J2:L5">MMULT(A2:D5,F2:H5)</f>
        <v>32</v>
      </c>
      <c r="K2" s="7">
        <v>66</v>
      </c>
      <c r="L2" s="7">
        <v>64</v>
      </c>
    </row>
    <row r="3" spans="1:19" x14ac:dyDescent="0.3">
      <c r="A3" s="2">
        <v>1</v>
      </c>
      <c r="B3" s="2">
        <v>3</v>
      </c>
      <c r="C3" s="2">
        <v>2</v>
      </c>
      <c r="D3" s="2">
        <v>8</v>
      </c>
      <c r="F3" s="2">
        <v>7</v>
      </c>
      <c r="G3" s="2">
        <v>6</v>
      </c>
      <c r="H3" s="2">
        <v>5</v>
      </c>
      <c r="J3" s="7">
        <v>37</v>
      </c>
      <c r="K3" s="7">
        <v>33</v>
      </c>
      <c r="L3" s="7">
        <v>35</v>
      </c>
    </row>
    <row r="4" spans="1:19" x14ac:dyDescent="0.3">
      <c r="A4" s="2">
        <v>9</v>
      </c>
      <c r="B4" s="2">
        <v>2</v>
      </c>
      <c r="C4" s="2">
        <v>5</v>
      </c>
      <c r="D4" s="2">
        <v>7</v>
      </c>
      <c r="F4" s="2">
        <v>4</v>
      </c>
      <c r="G4" s="2">
        <v>3</v>
      </c>
      <c r="H4" s="2">
        <v>2</v>
      </c>
      <c r="J4" s="7">
        <v>41</v>
      </c>
      <c r="K4" s="7">
        <v>108</v>
      </c>
      <c r="L4" s="7">
        <v>99</v>
      </c>
    </row>
    <row r="5" spans="1:19" x14ac:dyDescent="0.3">
      <c r="A5" s="2">
        <v>4</v>
      </c>
      <c r="B5" s="2">
        <v>6</v>
      </c>
      <c r="C5" s="2">
        <v>1</v>
      </c>
      <c r="D5" s="2">
        <v>8</v>
      </c>
      <c r="F5" s="2">
        <v>1</v>
      </c>
      <c r="G5" s="2">
        <v>0</v>
      </c>
      <c r="H5" s="2">
        <v>1</v>
      </c>
      <c r="J5" s="7">
        <v>54</v>
      </c>
      <c r="K5" s="7">
        <v>75</v>
      </c>
      <c r="L5" s="7">
        <v>72</v>
      </c>
    </row>
    <row r="7" spans="1:19" x14ac:dyDescent="0.3">
      <c r="A7" s="1" t="s">
        <v>23</v>
      </c>
      <c r="B7" s="1"/>
      <c r="G7" s="1" t="s">
        <v>24</v>
      </c>
      <c r="H7" s="1"/>
      <c r="N7" s="1" t="s">
        <v>25</v>
      </c>
      <c r="O7" s="1"/>
    </row>
    <row r="8" spans="1:19" x14ac:dyDescent="0.3">
      <c r="A8" s="2">
        <v>1</v>
      </c>
      <c r="B8" s="2">
        <v>3</v>
      </c>
      <c r="C8" s="2">
        <v>3</v>
      </c>
      <c r="D8" s="2">
        <v>7</v>
      </c>
      <c r="E8" s="2">
        <v>2</v>
      </c>
      <c r="G8" s="2">
        <v>7</v>
      </c>
      <c r="H8" s="2">
        <v>0</v>
      </c>
      <c r="I8" s="2">
        <v>9</v>
      </c>
      <c r="J8" s="2">
        <v>0</v>
      </c>
      <c r="K8" s="2">
        <v>1</v>
      </c>
      <c r="L8" s="2">
        <v>0</v>
      </c>
      <c r="N8" s="8">
        <f t="array" ref="N8:S13">MMULT(A8:E13,G8:L12)</f>
        <v>36</v>
      </c>
      <c r="O8" s="8">
        <v>77</v>
      </c>
      <c r="P8" s="8">
        <v>71</v>
      </c>
      <c r="Q8" s="8">
        <v>38</v>
      </c>
      <c r="R8" s="8">
        <v>19</v>
      </c>
      <c r="S8" s="8">
        <v>21</v>
      </c>
    </row>
    <row r="9" spans="1:19" x14ac:dyDescent="0.3">
      <c r="A9" s="2">
        <v>8</v>
      </c>
      <c r="B9" s="2">
        <v>6</v>
      </c>
      <c r="C9" s="2">
        <v>2</v>
      </c>
      <c r="D9" s="2">
        <v>8</v>
      </c>
      <c r="E9" s="2">
        <v>6</v>
      </c>
      <c r="G9" s="2">
        <v>0</v>
      </c>
      <c r="H9" s="2">
        <v>8</v>
      </c>
      <c r="I9" s="2">
        <v>6</v>
      </c>
      <c r="J9" s="2">
        <v>5</v>
      </c>
      <c r="K9" s="2">
        <v>0</v>
      </c>
      <c r="L9" s="2">
        <v>0</v>
      </c>
      <c r="N9" s="8">
        <v>80</v>
      </c>
      <c r="O9" s="8">
        <v>100</v>
      </c>
      <c r="P9" s="8">
        <v>166</v>
      </c>
      <c r="Q9" s="8">
        <v>52</v>
      </c>
      <c r="R9" s="8">
        <v>34</v>
      </c>
      <c r="S9" s="8">
        <v>14</v>
      </c>
    </row>
    <row r="10" spans="1:19" x14ac:dyDescent="0.3">
      <c r="A10" s="2">
        <v>0</v>
      </c>
      <c r="B10" s="2">
        <v>6</v>
      </c>
      <c r="C10" s="2">
        <v>7</v>
      </c>
      <c r="D10" s="2">
        <v>0</v>
      </c>
      <c r="E10" s="2">
        <v>4</v>
      </c>
      <c r="G10" s="2">
        <v>9</v>
      </c>
      <c r="H10" s="2">
        <v>6</v>
      </c>
      <c r="I10" s="2">
        <v>5</v>
      </c>
      <c r="J10" s="2">
        <v>3</v>
      </c>
      <c r="K10" s="2">
        <v>4</v>
      </c>
      <c r="L10" s="2">
        <v>7</v>
      </c>
      <c r="N10" s="8">
        <v>67</v>
      </c>
      <c r="O10" s="8">
        <v>90</v>
      </c>
      <c r="P10" s="8">
        <v>87</v>
      </c>
      <c r="Q10" s="8">
        <v>51</v>
      </c>
      <c r="R10" s="8">
        <v>40</v>
      </c>
      <c r="S10" s="8">
        <v>49</v>
      </c>
    </row>
    <row r="11" spans="1:19" x14ac:dyDescent="0.3">
      <c r="A11" s="2">
        <v>4</v>
      </c>
      <c r="B11" s="2">
        <v>0</v>
      </c>
      <c r="C11" s="2">
        <v>3</v>
      </c>
      <c r="D11" s="2">
        <v>3</v>
      </c>
      <c r="E11" s="2">
        <v>2</v>
      </c>
      <c r="G11" s="2">
        <v>0</v>
      </c>
      <c r="H11" s="2">
        <v>5</v>
      </c>
      <c r="I11" s="2">
        <v>3</v>
      </c>
      <c r="J11" s="2">
        <v>2</v>
      </c>
      <c r="K11" s="2">
        <v>0</v>
      </c>
      <c r="L11" s="2">
        <v>0</v>
      </c>
      <c r="N11" s="8">
        <v>57</v>
      </c>
      <c r="O11" s="8">
        <v>33</v>
      </c>
      <c r="P11" s="8">
        <v>68</v>
      </c>
      <c r="Q11" s="8">
        <v>15</v>
      </c>
      <c r="R11" s="8">
        <v>22</v>
      </c>
      <c r="S11" s="8">
        <v>21</v>
      </c>
    </row>
    <row r="12" spans="1:19" x14ac:dyDescent="0.3">
      <c r="A12" s="2">
        <v>3</v>
      </c>
      <c r="B12" s="2">
        <v>5</v>
      </c>
      <c r="C12" s="2">
        <v>3</v>
      </c>
      <c r="D12" s="2">
        <v>5</v>
      </c>
      <c r="E12" s="2">
        <v>9</v>
      </c>
      <c r="G12" s="2">
        <v>1</v>
      </c>
      <c r="H12" s="2">
        <v>0</v>
      </c>
      <c r="I12" s="2">
        <v>4</v>
      </c>
      <c r="J12" s="2">
        <v>0</v>
      </c>
      <c r="K12" s="2">
        <v>3</v>
      </c>
      <c r="L12" s="2">
        <v>0</v>
      </c>
      <c r="N12" s="8">
        <v>57</v>
      </c>
      <c r="O12" s="8">
        <v>83</v>
      </c>
      <c r="P12" s="8">
        <v>123</v>
      </c>
      <c r="Q12" s="8">
        <v>44</v>
      </c>
      <c r="R12" s="8">
        <v>42</v>
      </c>
      <c r="S12" s="8">
        <v>21</v>
      </c>
    </row>
    <row r="13" spans="1:19" x14ac:dyDescent="0.3">
      <c r="A13" s="2">
        <v>8</v>
      </c>
      <c r="B13" s="2">
        <v>8</v>
      </c>
      <c r="C13" s="2">
        <v>0</v>
      </c>
      <c r="D13" s="2">
        <v>5</v>
      </c>
      <c r="E13" s="2">
        <v>5</v>
      </c>
      <c r="N13" s="8">
        <v>61</v>
      </c>
      <c r="O13" s="8">
        <v>89</v>
      </c>
      <c r="P13" s="8">
        <v>155</v>
      </c>
      <c r="Q13" s="8">
        <v>50</v>
      </c>
      <c r="R13" s="8">
        <v>23</v>
      </c>
      <c r="S13" s="8">
        <v>0</v>
      </c>
    </row>
    <row r="15" spans="1:19" x14ac:dyDescent="0.3">
      <c r="A15" s="1" t="s">
        <v>26</v>
      </c>
      <c r="B15" s="1"/>
      <c r="E15" s="1" t="s">
        <v>27</v>
      </c>
      <c r="F15" s="1"/>
      <c r="J15" s="1" t="s">
        <v>28</v>
      </c>
      <c r="K15" s="1"/>
    </row>
    <row r="16" spans="1:19" x14ac:dyDescent="0.3">
      <c r="A16" s="2">
        <v>7</v>
      </c>
      <c r="B16" s="2">
        <v>0</v>
      </c>
      <c r="C16" s="2">
        <v>9</v>
      </c>
      <c r="E16" s="2">
        <v>6</v>
      </c>
      <c r="F16" s="2">
        <v>7</v>
      </c>
      <c r="G16" s="2">
        <v>3</v>
      </c>
      <c r="H16" s="2">
        <v>2</v>
      </c>
      <c r="J16" s="7">
        <f t="array" ref="J16:M20">MMULT(A16:C20,E16:H18)</f>
        <v>51</v>
      </c>
      <c r="K16" s="7">
        <v>112</v>
      </c>
      <c r="L16" s="7">
        <v>93</v>
      </c>
      <c r="M16" s="7">
        <v>41</v>
      </c>
    </row>
    <row r="17" spans="1:16" x14ac:dyDescent="0.3">
      <c r="A17" s="2">
        <v>0</v>
      </c>
      <c r="B17" s="2">
        <v>8</v>
      </c>
      <c r="C17" s="2">
        <v>6</v>
      </c>
      <c r="E17" s="2">
        <v>9</v>
      </c>
      <c r="F17" s="2">
        <v>0</v>
      </c>
      <c r="G17" s="2">
        <v>5</v>
      </c>
      <c r="H17" s="2">
        <v>4</v>
      </c>
      <c r="J17" s="7">
        <v>78</v>
      </c>
      <c r="K17" s="7">
        <v>42</v>
      </c>
      <c r="L17" s="7">
        <v>88</v>
      </c>
      <c r="M17" s="7">
        <v>50</v>
      </c>
    </row>
    <row r="18" spans="1:16" x14ac:dyDescent="0.3">
      <c r="A18" s="2">
        <v>9</v>
      </c>
      <c r="B18" s="2">
        <v>6</v>
      </c>
      <c r="C18" s="2">
        <v>5</v>
      </c>
      <c r="E18" s="2">
        <v>1</v>
      </c>
      <c r="F18" s="2">
        <v>7</v>
      </c>
      <c r="G18" s="2">
        <v>8</v>
      </c>
      <c r="H18" s="2">
        <v>3</v>
      </c>
      <c r="J18" s="7">
        <v>113</v>
      </c>
      <c r="K18" s="7">
        <v>98</v>
      </c>
      <c r="L18" s="7">
        <v>97</v>
      </c>
      <c r="M18" s="7">
        <v>57</v>
      </c>
    </row>
    <row r="19" spans="1:16" x14ac:dyDescent="0.3">
      <c r="A19" s="2">
        <v>0</v>
      </c>
      <c r="B19" s="2">
        <v>5</v>
      </c>
      <c r="C19" s="2">
        <v>3</v>
      </c>
      <c r="J19" s="7">
        <v>48</v>
      </c>
      <c r="K19" s="7">
        <v>21</v>
      </c>
      <c r="L19" s="7">
        <v>49</v>
      </c>
      <c r="M19" s="7">
        <v>29</v>
      </c>
    </row>
    <row r="20" spans="1:16" x14ac:dyDescent="0.3">
      <c r="A20" s="2">
        <v>1</v>
      </c>
      <c r="B20" s="2">
        <v>0</v>
      </c>
      <c r="C20" s="2">
        <v>4</v>
      </c>
      <c r="J20" s="7">
        <v>10</v>
      </c>
      <c r="K20" s="7">
        <v>35</v>
      </c>
      <c r="L20" s="7">
        <v>35</v>
      </c>
      <c r="M20" s="7">
        <v>14</v>
      </c>
    </row>
    <row r="22" spans="1:16" x14ac:dyDescent="0.3">
      <c r="A22" s="1" t="s">
        <v>29</v>
      </c>
      <c r="B22" s="1"/>
      <c r="E22" s="1" t="s">
        <v>30</v>
      </c>
      <c r="F22" s="1"/>
      <c r="I22" s="1" t="s">
        <v>31</v>
      </c>
      <c r="J22" s="1"/>
    </row>
    <row r="23" spans="1:16" x14ac:dyDescent="0.3">
      <c r="A23" s="2">
        <v>6</v>
      </c>
      <c r="B23" s="2">
        <v>2</v>
      </c>
      <c r="C23" s="2">
        <v>8</v>
      </c>
      <c r="E23" s="2">
        <v>6</v>
      </c>
      <c r="F23" s="2">
        <v>0</v>
      </c>
      <c r="G23" s="2">
        <v>0</v>
      </c>
      <c r="I23" s="8">
        <f t="array" ref="I23:K25">MMULT(A23:C25,E23:G25)</f>
        <v>36</v>
      </c>
      <c r="J23" s="8">
        <v>14</v>
      </c>
      <c r="K23" s="8">
        <v>24</v>
      </c>
    </row>
    <row r="24" spans="1:16" x14ac:dyDescent="0.3">
      <c r="A24" s="2">
        <v>6</v>
      </c>
      <c r="B24" s="2">
        <v>7</v>
      </c>
      <c r="C24" s="2">
        <v>0</v>
      </c>
      <c r="E24" s="2">
        <v>0</v>
      </c>
      <c r="F24" s="2">
        <v>7</v>
      </c>
      <c r="G24" s="2">
        <v>0</v>
      </c>
      <c r="I24" s="8">
        <v>36</v>
      </c>
      <c r="J24" s="8">
        <v>49</v>
      </c>
      <c r="K24" s="8">
        <v>0</v>
      </c>
    </row>
    <row r="25" spans="1:16" x14ac:dyDescent="0.3">
      <c r="A25" s="2">
        <v>0</v>
      </c>
      <c r="B25" s="2">
        <v>3</v>
      </c>
      <c r="C25" s="2">
        <v>3</v>
      </c>
      <c r="E25" s="2">
        <v>0</v>
      </c>
      <c r="F25" s="2">
        <v>0</v>
      </c>
      <c r="G25" s="2">
        <v>3</v>
      </c>
      <c r="I25" s="8">
        <v>0</v>
      </c>
      <c r="J25" s="8">
        <v>21</v>
      </c>
      <c r="K25" s="8">
        <v>9</v>
      </c>
    </row>
    <row r="26" spans="1:16" x14ac:dyDescent="0.3">
      <c r="A26" s="1" t="s">
        <v>32</v>
      </c>
      <c r="B26" s="1"/>
      <c r="D26" s="1" t="s">
        <v>33</v>
      </c>
      <c r="E26" s="1"/>
      <c r="I26" s="1"/>
      <c r="J26" s="1"/>
      <c r="K26" s="1" t="s">
        <v>34</v>
      </c>
      <c r="L26" s="1"/>
    </row>
    <row r="27" spans="1:16" x14ac:dyDescent="0.3">
      <c r="A27" s="2">
        <v>3</v>
      </c>
      <c r="B27" s="2">
        <v>2</v>
      </c>
      <c r="D27" s="2">
        <v>7</v>
      </c>
      <c r="E27" s="2">
        <v>0</v>
      </c>
      <c r="F27" s="2">
        <v>9</v>
      </c>
      <c r="G27" s="2">
        <v>0</v>
      </c>
      <c r="H27" s="2">
        <v>1</v>
      </c>
      <c r="I27" s="2">
        <v>0</v>
      </c>
      <c r="K27" s="8">
        <f t="array" ref="K27:P30">MMULT(A27:B30,D27:I28)</f>
        <v>21</v>
      </c>
      <c r="L27" s="8">
        <v>16</v>
      </c>
      <c r="M27" s="8">
        <v>39</v>
      </c>
      <c r="N27" s="8">
        <v>10</v>
      </c>
      <c r="O27" s="8">
        <v>3</v>
      </c>
      <c r="P27" s="8">
        <v>0</v>
      </c>
    </row>
    <row r="28" spans="1:16" x14ac:dyDescent="0.3">
      <c r="A28" s="2">
        <v>5</v>
      </c>
      <c r="B28" s="2">
        <v>4</v>
      </c>
      <c r="D28" s="2">
        <v>0</v>
      </c>
      <c r="E28" s="2">
        <v>8</v>
      </c>
      <c r="F28" s="2">
        <v>6</v>
      </c>
      <c r="G28" s="2">
        <v>5</v>
      </c>
      <c r="H28" s="2">
        <v>0</v>
      </c>
      <c r="I28" s="2">
        <v>0</v>
      </c>
      <c r="K28" s="8">
        <v>35</v>
      </c>
      <c r="L28" s="8">
        <v>32</v>
      </c>
      <c r="M28" s="8">
        <v>69</v>
      </c>
      <c r="N28" s="8">
        <v>20</v>
      </c>
      <c r="O28" s="8">
        <v>5</v>
      </c>
      <c r="P28" s="8">
        <v>0</v>
      </c>
    </row>
    <row r="29" spans="1:16" x14ac:dyDescent="0.3">
      <c r="A29" s="2">
        <v>8</v>
      </c>
      <c r="B29" s="2">
        <v>3</v>
      </c>
      <c r="K29" s="8">
        <v>56</v>
      </c>
      <c r="L29" s="8">
        <v>24</v>
      </c>
      <c r="M29" s="8">
        <v>90</v>
      </c>
      <c r="N29" s="8">
        <v>15</v>
      </c>
      <c r="O29" s="8">
        <v>8</v>
      </c>
      <c r="P29" s="8">
        <v>0</v>
      </c>
    </row>
    <row r="30" spans="1:16" x14ac:dyDescent="0.3">
      <c r="A30" s="2">
        <v>2</v>
      </c>
      <c r="B30" s="2">
        <v>5</v>
      </c>
      <c r="K30" s="8">
        <v>14</v>
      </c>
      <c r="L30" s="8">
        <v>40</v>
      </c>
      <c r="M30" s="8">
        <v>48</v>
      </c>
      <c r="N30" s="8">
        <v>25</v>
      </c>
      <c r="O30" s="8">
        <v>2</v>
      </c>
      <c r="P30" s="8">
        <v>0</v>
      </c>
    </row>
    <row r="32" spans="1:16" x14ac:dyDescent="0.3">
      <c r="A32" s="1" t="s">
        <v>46</v>
      </c>
      <c r="B32" s="1"/>
      <c r="G32" s="1" t="s">
        <v>47</v>
      </c>
      <c r="H32" s="1"/>
      <c r="M32" s="1" t="s">
        <v>48</v>
      </c>
      <c r="N32" s="1"/>
    </row>
    <row r="33" spans="1:17" x14ac:dyDescent="0.3">
      <c r="A33" s="2">
        <v>1</v>
      </c>
      <c r="B33" s="2">
        <v>3</v>
      </c>
      <c r="C33" s="2">
        <v>3</v>
      </c>
      <c r="D33" s="2">
        <v>7</v>
      </c>
      <c r="E33" s="2">
        <v>2</v>
      </c>
      <c r="G33" s="2">
        <v>7</v>
      </c>
      <c r="H33" s="2">
        <v>0</v>
      </c>
      <c r="I33" s="2">
        <v>9</v>
      </c>
      <c r="J33" s="2">
        <v>0</v>
      </c>
      <c r="K33" s="2">
        <v>1</v>
      </c>
      <c r="M33" s="7">
        <f t="array" ref="M33:Q37">MMULT(A33:E37,G33:K37)</f>
        <v>36</v>
      </c>
      <c r="N33" s="7">
        <v>77</v>
      </c>
      <c r="O33" s="7">
        <v>71</v>
      </c>
      <c r="P33" s="7">
        <v>38</v>
      </c>
      <c r="Q33" s="7">
        <v>19</v>
      </c>
    </row>
    <row r="34" spans="1:17" x14ac:dyDescent="0.3">
      <c r="A34" s="2">
        <v>8</v>
      </c>
      <c r="B34" s="2">
        <v>6</v>
      </c>
      <c r="C34" s="2">
        <v>2</v>
      </c>
      <c r="D34" s="2">
        <v>8</v>
      </c>
      <c r="E34" s="2">
        <v>6</v>
      </c>
      <c r="G34" s="2">
        <v>0</v>
      </c>
      <c r="H34" s="2">
        <v>8</v>
      </c>
      <c r="I34" s="2">
        <v>6</v>
      </c>
      <c r="J34" s="2">
        <v>5</v>
      </c>
      <c r="K34" s="2">
        <v>0</v>
      </c>
      <c r="M34" s="7">
        <v>80</v>
      </c>
      <c r="N34" s="7">
        <v>100</v>
      </c>
      <c r="O34" s="7">
        <v>166</v>
      </c>
      <c r="P34" s="7">
        <v>52</v>
      </c>
      <c r="Q34" s="7">
        <v>34</v>
      </c>
    </row>
    <row r="35" spans="1:17" x14ac:dyDescent="0.3">
      <c r="A35" s="2">
        <v>0</v>
      </c>
      <c r="B35" s="2">
        <v>6</v>
      </c>
      <c r="C35" s="2">
        <v>7</v>
      </c>
      <c r="D35" s="2">
        <v>0</v>
      </c>
      <c r="E35" s="2">
        <v>4</v>
      </c>
      <c r="G35" s="2">
        <v>9</v>
      </c>
      <c r="H35" s="2">
        <v>6</v>
      </c>
      <c r="I35" s="2">
        <v>5</v>
      </c>
      <c r="J35" s="2">
        <v>3</v>
      </c>
      <c r="K35" s="2">
        <v>4</v>
      </c>
      <c r="M35" s="7">
        <v>67</v>
      </c>
      <c r="N35" s="7">
        <v>90</v>
      </c>
      <c r="O35" s="7">
        <v>87</v>
      </c>
      <c r="P35" s="7">
        <v>51</v>
      </c>
      <c r="Q35" s="7">
        <v>40</v>
      </c>
    </row>
    <row r="36" spans="1:17" x14ac:dyDescent="0.3">
      <c r="A36" s="2">
        <v>4</v>
      </c>
      <c r="B36" s="2">
        <v>0</v>
      </c>
      <c r="C36" s="2">
        <v>3</v>
      </c>
      <c r="D36" s="2">
        <v>3</v>
      </c>
      <c r="E36" s="2">
        <v>2</v>
      </c>
      <c r="G36" s="2">
        <v>0</v>
      </c>
      <c r="H36" s="2">
        <v>5</v>
      </c>
      <c r="I36" s="2">
        <v>3</v>
      </c>
      <c r="J36" s="2">
        <v>2</v>
      </c>
      <c r="K36" s="2">
        <v>0</v>
      </c>
      <c r="M36" s="7">
        <v>57</v>
      </c>
      <c r="N36" s="7">
        <v>33</v>
      </c>
      <c r="O36" s="7">
        <v>68</v>
      </c>
      <c r="P36" s="7">
        <v>15</v>
      </c>
      <c r="Q36" s="7">
        <v>22</v>
      </c>
    </row>
    <row r="37" spans="1:17" x14ac:dyDescent="0.3">
      <c r="A37" s="2">
        <v>3</v>
      </c>
      <c r="B37" s="2">
        <v>5</v>
      </c>
      <c r="C37" s="2">
        <v>3</v>
      </c>
      <c r="D37" s="2">
        <v>5</v>
      </c>
      <c r="E37" s="2">
        <v>9</v>
      </c>
      <c r="G37" s="2">
        <v>1</v>
      </c>
      <c r="H37" s="2">
        <v>0</v>
      </c>
      <c r="I37" s="2">
        <v>4</v>
      </c>
      <c r="J37" s="2">
        <v>0</v>
      </c>
      <c r="K37" s="2">
        <v>3</v>
      </c>
      <c r="M37" s="7">
        <v>57</v>
      </c>
      <c r="N37" s="7">
        <v>83</v>
      </c>
      <c r="O37" s="7">
        <v>123</v>
      </c>
      <c r="P37" s="7">
        <v>44</v>
      </c>
      <c r="Q37" s="7">
        <v>42</v>
      </c>
    </row>
  </sheetData>
  <mergeCells count="19">
    <mergeCell ref="M32:N32"/>
    <mergeCell ref="A26:B26"/>
    <mergeCell ref="D26:E26"/>
    <mergeCell ref="I26:J26"/>
    <mergeCell ref="K26:L26"/>
    <mergeCell ref="A32:B32"/>
    <mergeCell ref="G32:H32"/>
    <mergeCell ref="A15:B15"/>
    <mergeCell ref="E15:F15"/>
    <mergeCell ref="J15:K15"/>
    <mergeCell ref="A22:B22"/>
    <mergeCell ref="E22:F22"/>
    <mergeCell ref="I22:J22"/>
    <mergeCell ref="A1:B1"/>
    <mergeCell ref="F1:G1"/>
    <mergeCell ref="J1:K1"/>
    <mergeCell ref="A7:B7"/>
    <mergeCell ref="G7:H7"/>
    <mergeCell ref="N7:O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975E1-5075-4E04-A12F-4643863FF72F}">
  <dimension ref="A1:AD12"/>
  <sheetViews>
    <sheetView zoomScale="70" zoomScaleNormal="70" workbookViewId="0">
      <selection activeCell="G9" sqref="G9:J11"/>
    </sheetView>
  </sheetViews>
  <sheetFormatPr defaultRowHeight="14.4" x14ac:dyDescent="0.3"/>
  <sheetData>
    <row r="1" spans="1:30" x14ac:dyDescent="0.3">
      <c r="A1" s="4" t="s">
        <v>49</v>
      </c>
      <c r="B1" s="4"/>
      <c r="F1" s="4" t="s">
        <v>50</v>
      </c>
      <c r="G1" s="4"/>
      <c r="N1" s="4" t="s">
        <v>51</v>
      </c>
      <c r="O1" s="4"/>
      <c r="V1" s="4" t="s">
        <v>52</v>
      </c>
      <c r="W1" s="4"/>
      <c r="Z1" s="4" t="s">
        <v>53</v>
      </c>
      <c r="AA1" s="4"/>
    </row>
    <row r="2" spans="1:30" x14ac:dyDescent="0.3">
      <c r="A2" s="2">
        <v>7</v>
      </c>
      <c r="B2" s="2">
        <v>0</v>
      </c>
      <c r="F2" s="2">
        <f t="array" ref="F2:J6">_xlfn.MUNIT(9)</f>
        <v>1</v>
      </c>
      <c r="G2" s="2">
        <v>0</v>
      </c>
      <c r="H2" s="2">
        <v>0</v>
      </c>
      <c r="I2" s="2">
        <v>0</v>
      </c>
      <c r="J2" s="2">
        <v>0</v>
      </c>
      <c r="N2" s="2">
        <v>8</v>
      </c>
      <c r="O2" s="2">
        <v>6</v>
      </c>
      <c r="P2" s="2">
        <v>5</v>
      </c>
      <c r="Q2" s="2">
        <v>0</v>
      </c>
      <c r="R2" s="2">
        <v>0</v>
      </c>
      <c r="V2" s="2">
        <v>7</v>
      </c>
      <c r="Z2" s="2">
        <v>1</v>
      </c>
      <c r="AA2" s="2">
        <v>0</v>
      </c>
      <c r="AB2" s="2">
        <v>0</v>
      </c>
      <c r="AC2" s="2">
        <v>0</v>
      </c>
    </row>
    <row r="3" spans="1:30" x14ac:dyDescent="0.3">
      <c r="A3" s="2">
        <v>0</v>
      </c>
      <c r="B3" s="2">
        <v>8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N3" s="2">
        <v>6</v>
      </c>
      <c r="O3" s="2">
        <v>5</v>
      </c>
      <c r="P3" s="2">
        <v>3</v>
      </c>
      <c r="Q3" s="2">
        <v>4</v>
      </c>
      <c r="R3" s="2">
        <v>7</v>
      </c>
      <c r="V3" s="2">
        <v>0</v>
      </c>
      <c r="Z3" s="2">
        <v>0</v>
      </c>
      <c r="AA3" s="2">
        <v>6</v>
      </c>
      <c r="AB3" s="2">
        <v>0</v>
      </c>
      <c r="AC3" s="2">
        <v>0</v>
      </c>
    </row>
    <row r="4" spans="1:30" x14ac:dyDescent="0.3">
      <c r="A4" s="2">
        <v>9</v>
      </c>
      <c r="B4" s="2">
        <v>6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N4" s="2">
        <v>5</v>
      </c>
      <c r="O4" s="2">
        <v>3</v>
      </c>
      <c r="P4" s="2">
        <v>2</v>
      </c>
      <c r="Q4" s="2">
        <v>0</v>
      </c>
      <c r="R4" s="2">
        <v>0</v>
      </c>
      <c r="V4" s="2">
        <v>7</v>
      </c>
      <c r="Z4" s="2">
        <v>0</v>
      </c>
      <c r="AA4" s="2">
        <v>0</v>
      </c>
      <c r="AB4" s="2">
        <v>7</v>
      </c>
      <c r="AC4" s="2">
        <v>0</v>
      </c>
    </row>
    <row r="5" spans="1:30" x14ac:dyDescent="0.3">
      <c r="A5" s="2">
        <v>0</v>
      </c>
      <c r="B5" s="2">
        <v>5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V5" s="2">
        <v>0</v>
      </c>
      <c r="Z5" s="2">
        <v>0</v>
      </c>
      <c r="AA5" s="2">
        <v>0</v>
      </c>
      <c r="AB5" s="2">
        <v>0</v>
      </c>
      <c r="AC5" s="2">
        <v>3</v>
      </c>
    </row>
    <row r="6" spans="1:30" x14ac:dyDescent="0.3">
      <c r="A6" s="2">
        <v>1</v>
      </c>
      <c r="B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Z6" s="2">
        <v>0</v>
      </c>
      <c r="AA6" s="2">
        <v>0</v>
      </c>
      <c r="AB6" s="2">
        <v>0</v>
      </c>
      <c r="AC6" s="2">
        <v>0</v>
      </c>
    </row>
    <row r="7" spans="1:30" x14ac:dyDescent="0.3">
      <c r="A7" s="4" t="s">
        <v>54</v>
      </c>
      <c r="B7" s="4"/>
      <c r="F7" s="13" t="s">
        <v>55</v>
      </c>
      <c r="G7" s="13"/>
      <c r="N7" s="13" t="s">
        <v>56</v>
      </c>
      <c r="O7" s="13"/>
      <c r="V7" s="13" t="s">
        <v>57</v>
      </c>
      <c r="W7" s="13"/>
      <c r="Z7" s="13" t="s">
        <v>58</v>
      </c>
      <c r="AA7" s="13"/>
    </row>
    <row r="8" spans="1:30" x14ac:dyDescent="0.3">
      <c r="A8" s="2">
        <f t="array" ref="A8:E9">TRANSPOSE(A2:B6)</f>
        <v>7</v>
      </c>
      <c r="B8" s="2">
        <v>0</v>
      </c>
      <c r="C8" s="2">
        <v>9</v>
      </c>
      <c r="D8" s="2">
        <v>0</v>
      </c>
      <c r="E8" s="12">
        <v>1</v>
      </c>
      <c r="F8" s="2">
        <f t="array" ref="F8:J12">TRANSPOSE(F2:J6)</f>
        <v>1</v>
      </c>
      <c r="G8" s="2">
        <v>0</v>
      </c>
      <c r="H8" s="2">
        <v>0</v>
      </c>
      <c r="I8" s="2">
        <v>0</v>
      </c>
      <c r="J8" s="2">
        <v>0</v>
      </c>
      <c r="N8" s="2">
        <f t="array" ref="N8:P12">TRANSPOSE(N2:R4)</f>
        <v>8</v>
      </c>
      <c r="O8" s="2">
        <v>6</v>
      </c>
      <c r="P8" s="2">
        <v>5</v>
      </c>
      <c r="V8" s="2">
        <f t="array" ref="V8:Y8">TRANSPOSE(V2:V5)</f>
        <v>7</v>
      </c>
      <c r="W8" s="2">
        <v>0</v>
      </c>
      <c r="X8" s="2">
        <v>7</v>
      </c>
      <c r="Y8" s="12">
        <v>0</v>
      </c>
      <c r="Z8" s="2">
        <f t="array" ref="Z8:AD11">TRANSPOSE(Z2:AC6)</f>
        <v>1</v>
      </c>
      <c r="AA8" s="2">
        <v>0</v>
      </c>
      <c r="AB8" s="2">
        <v>0</v>
      </c>
      <c r="AC8" s="2">
        <v>0</v>
      </c>
      <c r="AD8" s="2">
        <v>0</v>
      </c>
    </row>
    <row r="9" spans="1:30" x14ac:dyDescent="0.3">
      <c r="A9" s="2">
        <v>0</v>
      </c>
      <c r="B9" s="2">
        <v>8</v>
      </c>
      <c r="C9" s="2">
        <v>6</v>
      </c>
      <c r="D9" s="2">
        <v>5</v>
      </c>
      <c r="E9" s="1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N9" s="2">
        <v>6</v>
      </c>
      <c r="O9" s="2">
        <v>5</v>
      </c>
      <c r="P9" s="2">
        <v>3</v>
      </c>
      <c r="Z9" s="2">
        <v>0</v>
      </c>
      <c r="AA9" s="2">
        <v>6</v>
      </c>
      <c r="AB9" s="2">
        <v>0</v>
      </c>
      <c r="AC9" s="2">
        <v>0</v>
      </c>
      <c r="AD9" s="2">
        <v>0</v>
      </c>
    </row>
    <row r="10" spans="1:30" x14ac:dyDescent="0.3">
      <c r="F10" s="2">
        <v>0</v>
      </c>
      <c r="G10" s="2">
        <v>0</v>
      </c>
      <c r="H10" s="2">
        <v>1</v>
      </c>
      <c r="I10" s="2">
        <v>0</v>
      </c>
      <c r="J10" s="2">
        <v>0</v>
      </c>
      <c r="N10" s="2">
        <v>5</v>
      </c>
      <c r="O10" s="2">
        <v>3</v>
      </c>
      <c r="P10" s="2">
        <v>2</v>
      </c>
      <c r="Z10" s="2">
        <v>0</v>
      </c>
      <c r="AA10" s="2">
        <v>0</v>
      </c>
      <c r="AB10" s="2">
        <v>7</v>
      </c>
      <c r="AC10" s="2">
        <v>0</v>
      </c>
      <c r="AD10" s="2">
        <v>0</v>
      </c>
    </row>
    <row r="11" spans="1:30" x14ac:dyDescent="0.3">
      <c r="F11" s="2">
        <v>0</v>
      </c>
      <c r="G11" s="2">
        <v>0</v>
      </c>
      <c r="H11" s="2">
        <v>0</v>
      </c>
      <c r="I11" s="2">
        <v>1</v>
      </c>
      <c r="J11" s="2">
        <v>0</v>
      </c>
      <c r="N11" s="2">
        <v>0</v>
      </c>
      <c r="O11" s="2">
        <v>4</v>
      </c>
      <c r="P11" s="2">
        <v>0</v>
      </c>
      <c r="Z11" s="2">
        <v>0</v>
      </c>
      <c r="AA11" s="2">
        <v>0</v>
      </c>
      <c r="AB11" s="2">
        <v>0</v>
      </c>
      <c r="AC11" s="2">
        <v>3</v>
      </c>
      <c r="AD11" s="2">
        <v>0</v>
      </c>
    </row>
    <row r="12" spans="1:30" x14ac:dyDescent="0.3">
      <c r="F12" s="2">
        <v>0</v>
      </c>
      <c r="G12" s="2">
        <v>0</v>
      </c>
      <c r="H12" s="2">
        <v>0</v>
      </c>
      <c r="I12" s="2">
        <v>0</v>
      </c>
      <c r="J12" s="2">
        <v>1</v>
      </c>
      <c r="N12" s="2">
        <v>0</v>
      </c>
      <c r="O12" s="2">
        <v>7</v>
      </c>
      <c r="P12" s="2">
        <v>0</v>
      </c>
    </row>
  </sheetData>
  <mergeCells count="10">
    <mergeCell ref="A1:B1"/>
    <mergeCell ref="F1:G1"/>
    <mergeCell ref="N1:O1"/>
    <mergeCell ref="V1:W1"/>
    <mergeCell ref="Z1:AA1"/>
    <mergeCell ref="A7:B7"/>
    <mergeCell ref="F7:G7"/>
    <mergeCell ref="N7:O7"/>
    <mergeCell ref="V7:W7"/>
    <mergeCell ref="Z7:A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D446-9318-4950-9BB0-987FB53D5048}">
  <dimension ref="A1:N14"/>
  <sheetViews>
    <sheetView workbookViewId="0">
      <selection activeCell="K15" sqref="K15"/>
    </sheetView>
  </sheetViews>
  <sheetFormatPr defaultRowHeight="14.4" x14ac:dyDescent="0.3"/>
  <sheetData>
    <row r="1" spans="1:14" x14ac:dyDescent="0.3">
      <c r="A1" t="s">
        <v>0</v>
      </c>
      <c r="D1" t="s">
        <v>59</v>
      </c>
      <c r="F1" t="s">
        <v>1</v>
      </c>
      <c r="K1" t="s">
        <v>59</v>
      </c>
    </row>
    <row r="2" spans="1:14" x14ac:dyDescent="0.3">
      <c r="A2" s="2">
        <v>6</v>
      </c>
      <c r="B2" s="2">
        <v>5</v>
      </c>
      <c r="D2" s="2">
        <f>MDETERM(A2:B3)</f>
        <v>-7.0000000000000018</v>
      </c>
      <c r="F2" s="2">
        <v>9</v>
      </c>
      <c r="G2" s="2">
        <v>2</v>
      </c>
      <c r="H2" s="2">
        <v>5</v>
      </c>
      <c r="K2" s="2">
        <f>MDETERM(F2:H4)</f>
        <v>30.000000000000014</v>
      </c>
    </row>
    <row r="3" spans="1:14" x14ac:dyDescent="0.3">
      <c r="A3" s="2">
        <v>5</v>
      </c>
      <c r="B3" s="2">
        <v>3</v>
      </c>
      <c r="F3" s="2">
        <v>4</v>
      </c>
      <c r="G3" s="2">
        <v>6</v>
      </c>
      <c r="H3" s="2">
        <v>1</v>
      </c>
    </row>
    <row r="4" spans="1:14" x14ac:dyDescent="0.3">
      <c r="F4" s="2">
        <v>7</v>
      </c>
      <c r="G4" s="2">
        <v>8</v>
      </c>
      <c r="H4" s="2">
        <v>3</v>
      </c>
    </row>
    <row r="6" spans="1:14" x14ac:dyDescent="0.3">
      <c r="A6" t="s">
        <v>60</v>
      </c>
      <c r="G6" t="s">
        <v>59</v>
      </c>
      <c r="I6" t="s">
        <v>3</v>
      </c>
      <c r="N6" t="s">
        <v>59</v>
      </c>
    </row>
    <row r="7" spans="1:14" x14ac:dyDescent="0.3">
      <c r="A7" s="2">
        <v>1</v>
      </c>
      <c r="B7" s="2">
        <v>3</v>
      </c>
      <c r="C7" s="2">
        <v>3</v>
      </c>
      <c r="D7" s="2">
        <v>7</v>
      </c>
      <c r="E7" s="2">
        <v>2</v>
      </c>
      <c r="G7" s="2">
        <f>MDETERM(A7:E11)</f>
        <v>-8226</v>
      </c>
      <c r="I7" s="2">
        <v>9</v>
      </c>
      <c r="J7" s="2">
        <v>0</v>
      </c>
      <c r="K7" s="2">
        <v>1</v>
      </c>
      <c r="L7" s="2">
        <v>5</v>
      </c>
      <c r="N7" s="14">
        <f>MDETERM(I7:L10)</f>
        <v>-93.999999999999986</v>
      </c>
    </row>
    <row r="8" spans="1:14" x14ac:dyDescent="0.3">
      <c r="A8" s="2">
        <v>8</v>
      </c>
      <c r="B8" s="2">
        <v>6</v>
      </c>
      <c r="C8" s="2">
        <v>2</v>
      </c>
      <c r="D8" s="2">
        <v>8</v>
      </c>
      <c r="E8" s="2">
        <v>6</v>
      </c>
      <c r="I8" s="2">
        <v>6</v>
      </c>
      <c r="J8" s="2">
        <v>5</v>
      </c>
      <c r="K8" s="2">
        <v>0</v>
      </c>
      <c r="L8" s="2">
        <v>3</v>
      </c>
    </row>
    <row r="9" spans="1:14" x14ac:dyDescent="0.3">
      <c r="A9" s="2">
        <v>0</v>
      </c>
      <c r="B9" s="2">
        <v>6</v>
      </c>
      <c r="C9" s="2">
        <v>7</v>
      </c>
      <c r="D9" s="2">
        <v>0</v>
      </c>
      <c r="E9" s="2">
        <v>4</v>
      </c>
      <c r="I9" s="2">
        <v>5</v>
      </c>
      <c r="J9" s="2">
        <v>3</v>
      </c>
      <c r="K9" s="2">
        <v>4</v>
      </c>
      <c r="L9" s="2">
        <v>2</v>
      </c>
    </row>
    <row r="10" spans="1:14" x14ac:dyDescent="0.3">
      <c r="A10" s="2">
        <v>4</v>
      </c>
      <c r="B10" s="2">
        <v>0</v>
      </c>
      <c r="C10" s="2">
        <v>3</v>
      </c>
      <c r="D10" s="2">
        <v>3</v>
      </c>
      <c r="E10" s="2">
        <v>2</v>
      </c>
      <c r="I10" s="2">
        <v>3</v>
      </c>
      <c r="J10" s="2">
        <v>2</v>
      </c>
      <c r="K10" s="2">
        <v>0</v>
      </c>
      <c r="L10" s="2">
        <v>1</v>
      </c>
    </row>
    <row r="11" spans="1:14" x14ac:dyDescent="0.3">
      <c r="A11" s="2">
        <v>3</v>
      </c>
      <c r="B11" s="2">
        <v>5</v>
      </c>
      <c r="C11" s="2">
        <v>3</v>
      </c>
      <c r="D11" s="2">
        <v>5</v>
      </c>
      <c r="E11" s="2">
        <v>9</v>
      </c>
    </row>
    <row r="12" spans="1:14" x14ac:dyDescent="0.3">
      <c r="A12" t="s">
        <v>4</v>
      </c>
      <c r="D12" t="s">
        <v>59</v>
      </c>
    </row>
    <row r="13" spans="1:14" x14ac:dyDescent="0.3">
      <c r="A13" s="2">
        <v>7</v>
      </c>
      <c r="B13" s="2">
        <v>8</v>
      </c>
      <c r="D13" s="3">
        <f>MDETERM(A13:B14)</f>
        <v>63</v>
      </c>
    </row>
    <row r="14" spans="1:14" x14ac:dyDescent="0.3">
      <c r="A14" s="2">
        <v>0</v>
      </c>
      <c r="B14" s="2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2273D-FA71-4C35-8192-A0C40A11AFED}">
  <dimension ref="A1:K33"/>
  <sheetViews>
    <sheetView tabSelected="1" topLeftCell="A7" workbookViewId="0">
      <selection activeCell="O22" sqref="O22"/>
    </sheetView>
  </sheetViews>
  <sheetFormatPr defaultRowHeight="14.4" x14ac:dyDescent="0.3"/>
  <sheetData>
    <row r="1" spans="1:9" x14ac:dyDescent="0.3">
      <c r="A1" t="s">
        <v>0</v>
      </c>
      <c r="E1" t="s">
        <v>61</v>
      </c>
    </row>
    <row r="2" spans="1:9" x14ac:dyDescent="0.3">
      <c r="A2" s="2">
        <v>0</v>
      </c>
      <c r="B2" s="2">
        <v>9</v>
      </c>
      <c r="C2" s="2">
        <v>0</v>
      </c>
      <c r="E2" s="2">
        <f t="array" ref="E2:G4">MINVERSE(A2:C4)</f>
        <v>-0.12962962962962962</v>
      </c>
      <c r="F2" s="2">
        <v>-0.5</v>
      </c>
      <c r="G2" s="2">
        <v>0.83333333333333326</v>
      </c>
    </row>
    <row r="3" spans="1:9" x14ac:dyDescent="0.3">
      <c r="A3" s="2">
        <v>8</v>
      </c>
      <c r="B3" s="2">
        <v>6</v>
      </c>
      <c r="C3" s="2">
        <v>5</v>
      </c>
      <c r="E3" s="2">
        <v>0.1111111111111111</v>
      </c>
      <c r="F3" s="2">
        <v>0</v>
      </c>
      <c r="G3" s="2">
        <v>0</v>
      </c>
    </row>
    <row r="4" spans="1:9" x14ac:dyDescent="0.3">
      <c r="A4" s="2">
        <v>6</v>
      </c>
      <c r="B4" s="2">
        <v>5</v>
      </c>
      <c r="C4" s="2">
        <v>3</v>
      </c>
      <c r="E4" s="2">
        <v>7.407407407407407E-2</v>
      </c>
      <c r="F4" s="2">
        <v>1</v>
      </c>
      <c r="G4" s="2">
        <v>-1.3333333333333333</v>
      </c>
    </row>
    <row r="9" spans="1:9" x14ac:dyDescent="0.3">
      <c r="A9" t="s">
        <v>1</v>
      </c>
      <c r="D9" t="s">
        <v>62</v>
      </c>
    </row>
    <row r="10" spans="1:9" x14ac:dyDescent="0.3">
      <c r="A10" s="2">
        <v>6</v>
      </c>
      <c r="B10" s="2">
        <v>0</v>
      </c>
      <c r="D10" s="2">
        <f t="array" ref="D10:E11">MINVERSE(A10:B11)</f>
        <v>0.16666666666666666</v>
      </c>
      <c r="E10" s="2">
        <v>0</v>
      </c>
    </row>
    <row r="11" spans="1:9" x14ac:dyDescent="0.3">
      <c r="A11" s="2">
        <v>9</v>
      </c>
      <c r="B11" s="2">
        <v>3</v>
      </c>
      <c r="D11" s="2">
        <v>-0.5</v>
      </c>
      <c r="E11" s="2">
        <v>0.33333333333333331</v>
      </c>
    </row>
    <row r="15" spans="1:9" x14ac:dyDescent="0.3">
      <c r="A15" t="s">
        <v>60</v>
      </c>
      <c r="F15" t="s">
        <v>63</v>
      </c>
    </row>
    <row r="16" spans="1:9" x14ac:dyDescent="0.3">
      <c r="A16" s="2">
        <v>9</v>
      </c>
      <c r="B16" s="2">
        <v>0</v>
      </c>
      <c r="C16" s="2">
        <v>9</v>
      </c>
      <c r="D16" s="2">
        <v>4</v>
      </c>
      <c r="F16" s="2">
        <f t="array" ref="F16:I19">MINVERSE(A16:D19)</f>
        <v>0.23076923076923073</v>
      </c>
      <c r="G16" s="2">
        <v>-0.21794871794871795</v>
      </c>
      <c r="H16" s="2">
        <v>-0.15384615384615385</v>
      </c>
      <c r="I16" s="2">
        <v>0</v>
      </c>
    </row>
    <row r="17" spans="1:11" x14ac:dyDescent="0.3">
      <c r="A17" s="2">
        <v>0</v>
      </c>
      <c r="B17" s="2">
        <v>0</v>
      </c>
      <c r="C17" s="2">
        <v>6</v>
      </c>
      <c r="D17" s="2">
        <v>0</v>
      </c>
      <c r="F17" s="2">
        <v>0.44871794871794868</v>
      </c>
      <c r="G17" s="2">
        <v>-0.35897435897435898</v>
      </c>
      <c r="H17" s="2">
        <v>-0.57692307692307698</v>
      </c>
      <c r="I17" s="2">
        <v>0.33333333333333331</v>
      </c>
    </row>
    <row r="18" spans="1:11" x14ac:dyDescent="0.3">
      <c r="A18" s="2">
        <v>7</v>
      </c>
      <c r="B18" s="2">
        <v>0</v>
      </c>
      <c r="C18" s="2">
        <v>5</v>
      </c>
      <c r="D18" s="2">
        <v>6</v>
      </c>
      <c r="F18" s="2">
        <v>0</v>
      </c>
      <c r="G18" s="2">
        <v>0.16666666666666666</v>
      </c>
      <c r="H18" s="2">
        <v>0</v>
      </c>
      <c r="I18" s="2">
        <v>0</v>
      </c>
    </row>
    <row r="19" spans="1:11" x14ac:dyDescent="0.3">
      <c r="A19" s="2">
        <v>0</v>
      </c>
      <c r="B19" s="2">
        <v>3</v>
      </c>
      <c r="C19" s="2">
        <v>3</v>
      </c>
      <c r="D19" s="2">
        <v>5</v>
      </c>
      <c r="F19" s="2">
        <v>-0.26923076923076922</v>
      </c>
      <c r="G19" s="2">
        <v>0.11538461538461538</v>
      </c>
      <c r="H19" s="2">
        <v>0.34615384615384615</v>
      </c>
      <c r="I19" s="2">
        <v>0</v>
      </c>
    </row>
    <row r="22" spans="1:11" x14ac:dyDescent="0.3">
      <c r="A22" t="s">
        <v>3</v>
      </c>
      <c r="E22" t="s">
        <v>64</v>
      </c>
    </row>
    <row r="23" spans="1:11" x14ac:dyDescent="0.3">
      <c r="A23" s="2">
        <v>0</v>
      </c>
      <c r="B23" s="2">
        <v>7</v>
      </c>
      <c r="C23" s="2">
        <v>8</v>
      </c>
      <c r="E23" s="2">
        <f t="array" ref="E23:G25">MINVERSE(A23:C25)</f>
        <v>-0.16666666666666663</v>
      </c>
      <c r="F23" s="2">
        <v>0</v>
      </c>
      <c r="G23" s="2">
        <v>0.16666666666666666</v>
      </c>
    </row>
    <row r="24" spans="1:11" x14ac:dyDescent="0.3">
      <c r="A24" s="2">
        <v>3</v>
      </c>
      <c r="B24" s="2">
        <v>4</v>
      </c>
      <c r="C24" s="2">
        <v>5</v>
      </c>
      <c r="E24" s="2">
        <v>0.33333333333333331</v>
      </c>
      <c r="F24" s="2">
        <v>-2.6666666666666665</v>
      </c>
      <c r="G24" s="2">
        <v>1.3333333333333333</v>
      </c>
    </row>
    <row r="25" spans="1:11" x14ac:dyDescent="0.3">
      <c r="A25" s="2">
        <v>6</v>
      </c>
      <c r="B25" s="2">
        <v>7</v>
      </c>
      <c r="C25" s="2">
        <v>8</v>
      </c>
      <c r="E25" s="2">
        <v>-0.16666666666666666</v>
      </c>
      <c r="F25" s="2">
        <v>2.333333333333333</v>
      </c>
      <c r="G25" s="2">
        <v>-1.1666666666666665</v>
      </c>
    </row>
    <row r="28" spans="1:11" x14ac:dyDescent="0.3">
      <c r="A28" t="s">
        <v>4</v>
      </c>
      <c r="G28" t="s">
        <v>65</v>
      </c>
    </row>
    <row r="29" spans="1:11" x14ac:dyDescent="0.3">
      <c r="A29" s="2">
        <v>3</v>
      </c>
      <c r="B29" s="2">
        <v>2</v>
      </c>
      <c r="C29" s="2">
        <v>2</v>
      </c>
      <c r="D29" s="2">
        <v>9</v>
      </c>
      <c r="E29" s="2">
        <v>8</v>
      </c>
      <c r="G29" s="2">
        <f t="array" ref="G29:K33">MINVERSE(A29:E33)</f>
        <v>-2.898193253992723E-3</v>
      </c>
      <c r="H29" s="2">
        <v>-0.1384349756428439</v>
      </c>
      <c r="I29" s="2">
        <v>3.9156440772029351E-2</v>
      </c>
      <c r="J29" s="2">
        <v>-3.4161682185361017E-2</v>
      </c>
      <c r="K29" s="2">
        <v>0.15267928716778689</v>
      </c>
    </row>
    <row r="30" spans="1:11" x14ac:dyDescent="0.3">
      <c r="A30" s="2">
        <v>2</v>
      </c>
      <c r="B30" s="2">
        <v>5</v>
      </c>
      <c r="C30" s="2">
        <v>0</v>
      </c>
      <c r="D30" s="2">
        <v>6</v>
      </c>
      <c r="E30" s="2">
        <v>1</v>
      </c>
      <c r="G30" s="2">
        <v>-8.0656101621754947E-2</v>
      </c>
      <c r="H30" s="2">
        <v>8.3554294875747656E-2</v>
      </c>
      <c r="I30" s="2">
        <v>0.13226860701732751</v>
      </c>
      <c r="J30" s="2">
        <v>-9.964851698834562E-2</v>
      </c>
      <c r="K30" s="2">
        <v>-2.7563667756058459E-2</v>
      </c>
    </row>
    <row r="31" spans="1:11" x14ac:dyDescent="0.3">
      <c r="A31" s="2">
        <v>6</v>
      </c>
      <c r="B31" s="2">
        <v>7</v>
      </c>
      <c r="C31" s="2">
        <v>8</v>
      </c>
      <c r="D31" s="2">
        <v>5</v>
      </c>
      <c r="E31" s="2">
        <v>5</v>
      </c>
      <c r="G31" s="2">
        <v>-1.7204168465190846E-2</v>
      </c>
      <c r="H31" s="2">
        <v>2.9290250971203059E-2</v>
      </c>
      <c r="I31" s="2">
        <v>-1.6032558426342686E-3</v>
      </c>
      <c r="J31" s="2">
        <v>0.11635937596349512</v>
      </c>
      <c r="K31" s="2">
        <v>-7.2393167663562921E-2</v>
      </c>
    </row>
    <row r="32" spans="1:11" x14ac:dyDescent="0.3">
      <c r="A32" s="2">
        <v>5</v>
      </c>
      <c r="B32" s="2">
        <v>1</v>
      </c>
      <c r="C32" s="2">
        <v>9</v>
      </c>
      <c r="D32" s="2">
        <v>3</v>
      </c>
      <c r="E32" s="2">
        <v>1</v>
      </c>
      <c r="G32" s="2">
        <v>5.3030770179441321E-2</v>
      </c>
      <c r="H32" s="2">
        <v>0.17136338410310167</v>
      </c>
      <c r="I32" s="2">
        <v>-0.14201146944564347</v>
      </c>
      <c r="J32" s="2">
        <v>0.114447801689585</v>
      </c>
      <c r="K32" s="2">
        <v>-2.7748658814823947E-2</v>
      </c>
    </row>
    <row r="33" spans="1:11" x14ac:dyDescent="0.3">
      <c r="A33" s="2">
        <v>8</v>
      </c>
      <c r="B33" s="2">
        <v>3</v>
      </c>
      <c r="C33" s="2">
        <v>0</v>
      </c>
      <c r="D33" s="2">
        <v>5</v>
      </c>
      <c r="E33" s="2">
        <v>0</v>
      </c>
      <c r="G33" s="2">
        <v>9.0892273540112228E-2</v>
      </c>
      <c r="H33" s="2">
        <v>-0.16908182771166058</v>
      </c>
      <c r="I33" s="2">
        <v>0.11241290004316457</v>
      </c>
      <c r="J33" s="2">
        <v>-0.12012086082506011</v>
      </c>
      <c r="K33" s="2">
        <v>-1.048282666337802E-3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Задание1</vt:lpstr>
      <vt:lpstr>Задание2</vt:lpstr>
      <vt:lpstr>Задание3</vt:lpstr>
      <vt:lpstr>Задание4</vt:lpstr>
      <vt:lpstr>Задание5</vt:lpstr>
      <vt:lpstr>Задание6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dadaya21</dc:creator>
  <cp:lastModifiedBy>dadaya21</cp:lastModifiedBy>
  <dcterms:created xsi:type="dcterms:W3CDTF">2015-06-05T18:19:34Z</dcterms:created>
  <dcterms:modified xsi:type="dcterms:W3CDTF">2021-11-11T15:12:05Z</dcterms:modified>
</cp:coreProperties>
</file>