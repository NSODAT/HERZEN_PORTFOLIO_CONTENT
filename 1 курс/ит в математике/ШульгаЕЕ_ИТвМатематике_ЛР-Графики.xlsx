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daya21\Desktop\"/>
    </mc:Choice>
  </mc:AlternateContent>
  <xr:revisionPtr revIDLastSave="0" documentId="8_{8AC0C381-B93E-4F16-BFF7-99820C628B3F}" xr6:coauthVersionLast="45" xr6:coauthVersionMax="45" xr10:uidLastSave="{00000000-0000-0000-0000-000000000000}"/>
  <bookViews>
    <workbookView xWindow="-120" yWindow="-120" windowWidth="29040" windowHeight="15840" activeTab="2" xr2:uid="{FB19CEE4-0E65-4C38-B0CE-D6986443D2DA}"/>
  </bookViews>
  <sheets>
    <sheet name="Задание 1" sheetId="1" r:id="rId1"/>
    <sheet name="Задание 2" sheetId="2" r:id="rId2"/>
    <sheet name="Задание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G3" i="3"/>
  <c r="H3" i="3"/>
  <c r="I3" i="3"/>
  <c r="J3" i="3"/>
  <c r="K3" i="3"/>
  <c r="L3" i="3"/>
  <c r="B4" i="3"/>
  <c r="C4" i="3"/>
  <c r="D4" i="3"/>
  <c r="E4" i="3"/>
  <c r="F4" i="3"/>
  <c r="G4" i="3"/>
  <c r="H4" i="3"/>
  <c r="I4" i="3"/>
  <c r="J4" i="3"/>
  <c r="K4" i="3"/>
  <c r="L4" i="3"/>
  <c r="B5" i="3"/>
  <c r="C5" i="3"/>
  <c r="D5" i="3"/>
  <c r="E5" i="3"/>
  <c r="F5" i="3"/>
  <c r="G5" i="3"/>
  <c r="H5" i="3"/>
  <c r="I5" i="3"/>
  <c r="J5" i="3"/>
  <c r="K5" i="3"/>
  <c r="L5" i="3"/>
  <c r="B6" i="3"/>
  <c r="C6" i="3"/>
  <c r="D6" i="3"/>
  <c r="E6" i="3"/>
  <c r="F6" i="3"/>
  <c r="G6" i="3"/>
  <c r="H6" i="3"/>
  <c r="I6" i="3"/>
  <c r="J6" i="3"/>
  <c r="K6" i="3"/>
  <c r="L6" i="3"/>
  <c r="B7" i="3"/>
  <c r="C7" i="3"/>
  <c r="D7" i="3"/>
  <c r="E7" i="3"/>
  <c r="F7" i="3"/>
  <c r="G7" i="3"/>
  <c r="H7" i="3"/>
  <c r="I7" i="3"/>
  <c r="J7" i="3"/>
  <c r="K7" i="3"/>
  <c r="L7" i="3"/>
  <c r="B8" i="3"/>
  <c r="C8" i="3"/>
  <c r="D8" i="3"/>
  <c r="E8" i="3"/>
  <c r="F8" i="3"/>
  <c r="G8" i="3"/>
  <c r="H8" i="3"/>
  <c r="I8" i="3"/>
  <c r="J8" i="3"/>
  <c r="K8" i="3"/>
  <c r="L8" i="3"/>
  <c r="B9" i="3"/>
  <c r="C9" i="3"/>
  <c r="D9" i="3"/>
  <c r="E9" i="3"/>
  <c r="F9" i="3"/>
  <c r="G9" i="3"/>
  <c r="H9" i="3"/>
  <c r="I9" i="3"/>
  <c r="J9" i="3"/>
  <c r="K9" i="3"/>
  <c r="L9" i="3"/>
  <c r="B10" i="3"/>
  <c r="C10" i="3"/>
  <c r="D10" i="3"/>
  <c r="E10" i="3"/>
  <c r="F10" i="3"/>
  <c r="G10" i="3"/>
  <c r="H10" i="3"/>
  <c r="I10" i="3"/>
  <c r="J10" i="3"/>
  <c r="K10" i="3"/>
  <c r="L10" i="3"/>
  <c r="B11" i="3"/>
  <c r="C11" i="3"/>
  <c r="D11" i="3"/>
  <c r="E11" i="3"/>
  <c r="F11" i="3"/>
  <c r="G11" i="3"/>
  <c r="H11" i="3"/>
  <c r="I11" i="3"/>
  <c r="J11" i="3"/>
  <c r="K11" i="3"/>
  <c r="L11" i="3"/>
  <c r="B12" i="3"/>
  <c r="C12" i="3"/>
  <c r="D12" i="3"/>
  <c r="E12" i="3"/>
  <c r="F12" i="3"/>
  <c r="G12" i="3"/>
  <c r="H12" i="3"/>
  <c r="I12" i="3"/>
  <c r="J12" i="3"/>
  <c r="K12" i="3"/>
  <c r="L12" i="3"/>
  <c r="C2" i="3"/>
  <c r="D2" i="3"/>
  <c r="E2" i="3"/>
  <c r="F2" i="3"/>
  <c r="G2" i="3"/>
  <c r="H2" i="3"/>
  <c r="I2" i="3"/>
  <c r="J2" i="3"/>
  <c r="K2" i="3"/>
  <c r="L2" i="3"/>
  <c r="B2" i="3"/>
  <c r="C44" i="2"/>
  <c r="D44" i="2"/>
  <c r="E44" i="2"/>
  <c r="F44" i="2"/>
  <c r="G44" i="2"/>
  <c r="H44" i="2"/>
  <c r="B44" i="2"/>
  <c r="T24" i="2"/>
  <c r="U24" i="2"/>
  <c r="V24" i="2"/>
  <c r="W24" i="2"/>
  <c r="X24" i="2"/>
  <c r="Y24" i="2"/>
  <c r="S24" i="2"/>
  <c r="C24" i="2"/>
  <c r="D24" i="2"/>
  <c r="E24" i="2"/>
  <c r="F24" i="2"/>
  <c r="G24" i="2"/>
  <c r="H24" i="2"/>
  <c r="J24" i="2"/>
  <c r="K24" i="2"/>
  <c r="L24" i="2"/>
  <c r="M24" i="2"/>
  <c r="N24" i="2"/>
  <c r="O24" i="2"/>
  <c r="P24" i="2"/>
  <c r="B24" i="2"/>
  <c r="U5" i="2"/>
  <c r="V5" i="2"/>
  <c r="W5" i="2"/>
  <c r="X5" i="2"/>
  <c r="Y5" i="2"/>
  <c r="Z5" i="2"/>
  <c r="AA5" i="2"/>
  <c r="AB5" i="2"/>
  <c r="T5" i="2"/>
  <c r="L5" i="2"/>
  <c r="M5" i="2"/>
  <c r="N5" i="2"/>
  <c r="O5" i="2"/>
  <c r="P5" i="2"/>
  <c r="Q5" i="2"/>
  <c r="K5" i="2"/>
  <c r="C5" i="2"/>
  <c r="D5" i="2"/>
  <c r="E5" i="2"/>
  <c r="F5" i="2"/>
  <c r="G5" i="2"/>
  <c r="H5" i="2"/>
  <c r="B5" i="2"/>
  <c r="H5" i="1"/>
  <c r="C5" i="1"/>
  <c r="D5" i="1"/>
  <c r="E5" i="1"/>
  <c r="F5" i="1"/>
  <c r="G5" i="1"/>
  <c r="B5" i="1"/>
</calcChain>
</file>

<file path=xl/sharedStrings.xml><?xml version="1.0" encoding="utf-8"?>
<sst xmlns="http://schemas.openxmlformats.org/spreadsheetml/2006/main" count="18" uniqueCount="4">
  <si>
    <t>k</t>
  </si>
  <si>
    <t>b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</si>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</sst>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2" borderId="1" xfId="1" applyBorder="1"/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</a:t>
            </a:r>
            <a:r>
              <a:rPr lang="en-US" baseline="0"/>
              <a:t> = k*x+b</a:t>
            </a:r>
            <a:endParaRPr lang="en-US"/>
          </a:p>
        </c:rich>
      </c:tx>
      <c:layout>
        <c:manualLayout>
          <c:xMode val="edge"/>
          <c:yMode val="edge"/>
          <c:x val="0.48137462121289626"/>
          <c:y val="2.6759911966210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1789288057742776E-2"/>
          <c:y val="0.14393531546319052"/>
          <c:w val="0.90286351706036749"/>
          <c:h val="0.77736111111111106"/>
        </c:manualLayout>
      </c:layout>
      <c:lineChart>
        <c:grouping val="standard"/>
        <c:varyColors val="0"/>
        <c:ser>
          <c:idx val="0"/>
          <c:order val="0"/>
          <c:tx>
            <c:strRef>
              <c:f>'Задание 1'!$A$5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'Задание 1'!$B$4:$H$4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cat>
          <c:val>
            <c:numRef>
              <c:f>'Задание 1'!$B$5:$H$5</c:f>
              <c:numCache>
                <c:formatCode>General</c:formatCode>
                <c:ptCount val="7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7F-417F-9D6A-498EE09B5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209168"/>
        <c:axId val="1242266416"/>
      </c:lineChart>
      <c:catAx>
        <c:axId val="124720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  <a:tailEnd type="triangle" w="lg" len="lg"/>
          </a:ln>
          <a:effectLst/>
        </c:spPr>
        <c:txPr>
          <a:bodyPr rot="-1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2266416"/>
        <c:crosses val="autoZero"/>
        <c:auto val="1"/>
        <c:lblAlgn val="ctr"/>
        <c:lblOffset val="100"/>
        <c:noMultiLvlLbl val="0"/>
      </c:catAx>
      <c:valAx>
        <c:axId val="124226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8100">
            <a:solidFill>
              <a:schemeClr val="tx1"/>
            </a:solidFill>
            <a:tailEnd type="triangle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720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 = 2^x+3</a:t>
            </a:r>
          </a:p>
        </c:rich>
      </c:tx>
      <c:layout>
        <c:manualLayout>
          <c:xMode val="edge"/>
          <c:yMode val="edge"/>
          <c:x val="0.46009224071739602"/>
          <c:y val="4.9134553056700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471526736210155"/>
          <c:y val="0.16567277935209218"/>
          <c:w val="0.8541220517885314"/>
          <c:h val="0.63598752538061698"/>
        </c:manualLayout>
      </c:layout>
      <c:lineChart>
        <c:grouping val="standard"/>
        <c:varyColors val="0"/>
        <c:ser>
          <c:idx val="0"/>
          <c:order val="0"/>
          <c:tx>
            <c:strRef>
              <c:f>'Задание 2'!$A$5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'Задание 2'!$B$4:$H$4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cat>
          <c:val>
            <c:numRef>
              <c:f>'Задание 2'!$B$5:$H$5</c:f>
              <c:numCache>
                <c:formatCode>General</c:formatCode>
                <c:ptCount val="7"/>
                <c:pt idx="0">
                  <c:v>3.125</c:v>
                </c:pt>
                <c:pt idx="1">
                  <c:v>3.25</c:v>
                </c:pt>
                <c:pt idx="2">
                  <c:v>3.5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5-41F9-87E0-4F85C5869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6290272"/>
        <c:axId val="1051732448"/>
      </c:lineChart>
      <c:catAx>
        <c:axId val="1146290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141832116168912"/>
              <c:y val="0.726610704157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1732448"/>
        <c:crosses val="autoZero"/>
        <c:auto val="1"/>
        <c:lblAlgn val="ctr"/>
        <c:lblOffset val="100"/>
        <c:noMultiLvlLbl val="0"/>
      </c:catAx>
      <c:valAx>
        <c:axId val="105173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1350382836805907"/>
              <c:y val="0.177971189636513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>
            <a:solidFill>
              <a:schemeClr val="tx1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629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y=</a:t>
            </a:r>
            <a:r>
              <a:rPr lang="en-US" baseline="0"/>
              <a:t> </a:t>
            </a:r>
            <a:r>
              <a:rPr lang="en-US"/>
              <a:t>√x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2'!$J$5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2'!$K$4:$Q$4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16</c:v>
                </c:pt>
                <c:pt idx="5">
                  <c:v>25</c:v>
                </c:pt>
                <c:pt idx="6">
                  <c:v>36</c:v>
                </c:pt>
              </c:numCache>
            </c:numRef>
          </c:xVal>
          <c:yVal>
            <c:numRef>
              <c:f>'Задание 2'!$K$5:$Q$5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14-4FA8-859D-55C8A0A3E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325520"/>
        <c:axId val="1242275152"/>
      </c:scatterChart>
      <c:valAx>
        <c:axId val="115332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068472657219171"/>
              <c:y val="0.816120290775795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2275152"/>
        <c:crosses val="autoZero"/>
        <c:crossBetween val="midCat"/>
      </c:valAx>
      <c:valAx>
        <c:axId val="124227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11969003517969179"/>
              <c:y val="0.174594083286013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332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 = 7 − |x|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4567540158501485E-2"/>
          <c:y val="0.16402429427241846"/>
          <c:w val="0.9366970983793339"/>
          <c:h val="0.73338526381473845"/>
        </c:manualLayout>
      </c:layout>
      <c:lineChart>
        <c:grouping val="standard"/>
        <c:varyColors val="0"/>
        <c:ser>
          <c:idx val="0"/>
          <c:order val="0"/>
          <c:tx>
            <c:strRef>
              <c:f>'Задание 2'!$S$5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'Задание 2'!$T$4:$AB$4</c:f>
              <c:numCache>
                <c:formatCode>General</c:formatCod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cat>
          <c:val>
            <c:numRef>
              <c:f>'Задание 2'!$T$5:$AB$5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DC-4CF7-9C8C-6EC31E9A7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3331328"/>
        <c:axId val="1051734528"/>
      </c:lineChart>
      <c:catAx>
        <c:axId val="125333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1734528"/>
        <c:crosses val="autoZero"/>
        <c:auto val="1"/>
        <c:lblAlgn val="ctr"/>
        <c:lblOffset val="100"/>
        <c:noMultiLvlLbl val="0"/>
      </c:catAx>
      <c:valAx>
        <c:axId val="105173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8100">
            <a:solidFill>
              <a:schemeClr val="tx1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333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 = 1 /</a:t>
            </a:r>
            <a:r>
              <a:rPr lang="en-US" baseline="0"/>
              <a:t> 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3185857733774359E-2"/>
          <c:y val="0.15372869004108525"/>
          <c:w val="0.89692658449734397"/>
          <c:h val="0.7376580348217546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'Задание 2'!$A$24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2'!$B$23:$P$23</c:f>
              <c:numCache>
                <c:formatCode>General</c:formatCode>
                <c:ptCount val="15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-0.5</c:v>
                </c:pt>
                <c:pt idx="6">
                  <c:v>-0.25</c:v>
                </c:pt>
                <c:pt idx="8">
                  <c:v>0.25</c:v>
                </c:pt>
                <c:pt idx="9">
                  <c:v>0.5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</c:numCache>
            </c:numRef>
          </c:xVal>
          <c:yVal>
            <c:numRef>
              <c:f>'Задание 2'!$B$24:$P$24</c:f>
              <c:numCache>
                <c:formatCode>General</c:formatCode>
                <c:ptCount val="15"/>
                <c:pt idx="0">
                  <c:v>-0.2</c:v>
                </c:pt>
                <c:pt idx="1">
                  <c:v>-0.25</c:v>
                </c:pt>
                <c:pt idx="2">
                  <c:v>-0.33333333333333331</c:v>
                </c:pt>
                <c:pt idx="3">
                  <c:v>-0.5</c:v>
                </c:pt>
                <c:pt idx="4">
                  <c:v>-1</c:v>
                </c:pt>
                <c:pt idx="5">
                  <c:v>-2</c:v>
                </c:pt>
                <c:pt idx="6">
                  <c:v>-4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0.5</c:v>
                </c:pt>
                <c:pt idx="12">
                  <c:v>0.33333333333333331</c:v>
                </c:pt>
                <c:pt idx="13">
                  <c:v>0.25</c:v>
                </c:pt>
                <c:pt idx="14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67-4590-9754-26DA539B3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1638480"/>
        <c:axId val="1153109152"/>
      </c:scatterChart>
      <c:valAx>
        <c:axId val="125163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0688305794195201"/>
              <c:y val="0.53079368001046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3109152"/>
        <c:crosses val="autoZero"/>
        <c:crossBetween val="midCat"/>
      </c:valAx>
      <c:valAx>
        <c:axId val="115310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53253022152171925"/>
              <c:y val="0.162534483810844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163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 = ln(x)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2'!$R$24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2'!$S$23:$Y$23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xVal>
          <c:yVal>
            <c:numRef>
              <c:f>'Задание 2'!$S$24:$Y$24</c:f>
              <c:numCache>
                <c:formatCode>General</c:formatCode>
                <c:ptCount val="7"/>
                <c:pt idx="0">
                  <c:v>-1.3862943611198906</c:v>
                </c:pt>
                <c:pt idx="1">
                  <c:v>-0.69314718055994529</c:v>
                </c:pt>
                <c:pt idx="2">
                  <c:v>0</c:v>
                </c:pt>
                <c:pt idx="3">
                  <c:v>0.69314718055994529</c:v>
                </c:pt>
                <c:pt idx="4">
                  <c:v>1.0986122886681098</c:v>
                </c:pt>
                <c:pt idx="5">
                  <c:v>1.3862943611198906</c:v>
                </c:pt>
                <c:pt idx="6">
                  <c:v>1.6094379124341003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75-4891-82CE-B525EDB5F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477296"/>
        <c:axId val="1153115392"/>
      </c:scatterChart>
      <c:valAx>
        <c:axId val="124947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3115392"/>
        <c:crosses val="autoZero"/>
        <c:crossBetween val="midCat"/>
      </c:valAx>
      <c:valAx>
        <c:axId val="115311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947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 = ln(5)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2'!$A$43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'Задание 2'!$B$43:$H$43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9-496E-90CE-ACED6D5FA165}"/>
            </c:ext>
          </c:extLst>
        </c:ser>
        <c:ser>
          <c:idx val="1"/>
          <c:order val="1"/>
          <c:tx>
            <c:strRef>
              <c:f>'Задание 2'!$A$44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'Задание 2'!$B$44:$H$44</c:f>
              <c:numCache>
                <c:formatCode>General</c:formatCode>
                <c:ptCount val="7"/>
                <c:pt idx="0">
                  <c:v>1.6094379124341003</c:v>
                </c:pt>
                <c:pt idx="1">
                  <c:v>1.6094379124341003</c:v>
                </c:pt>
                <c:pt idx="2">
                  <c:v>1.6094379124341003</c:v>
                </c:pt>
                <c:pt idx="3">
                  <c:v>1.6094379124341003</c:v>
                </c:pt>
                <c:pt idx="4">
                  <c:v>1.6094379124341003</c:v>
                </c:pt>
                <c:pt idx="5">
                  <c:v>1.6094379124341003</c:v>
                </c:pt>
                <c:pt idx="6">
                  <c:v>1.6094379124341003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9-496E-90CE-ACED6D5FA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2466976"/>
        <c:axId val="1153118304"/>
      </c:lineChart>
      <c:catAx>
        <c:axId val="115246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3118304"/>
        <c:crosses val="autoZero"/>
        <c:auto val="1"/>
        <c:lblAlgn val="ctr"/>
        <c:lblOffset val="100"/>
        <c:noMultiLvlLbl val="0"/>
      </c:catAx>
      <c:valAx>
        <c:axId val="115311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8100">
            <a:solidFill>
              <a:schemeClr val="tx1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246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Гиперболический параболоид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9867119551232551E-2"/>
          <c:y val="0.16667452085698942"/>
          <c:w val="0.87965560187329528"/>
          <c:h val="0.6629217139189717"/>
        </c:manualLayout>
      </c:layout>
      <c:surface3DChart>
        <c:wireframe val="0"/>
        <c:ser>
          <c:idx val="0"/>
          <c:order val="0"/>
          <c:tx>
            <c:strRef>
              <c:f>'Задание 3'!$A$2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1">
                <a:shade val="41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3'!$B$2:$L$2</c:f>
              <c:numCache>
                <c:formatCode>General</c:formatCode>
                <c:ptCount val="11"/>
                <c:pt idx="0">
                  <c:v>31.25</c:v>
                </c:pt>
                <c:pt idx="1">
                  <c:v>11</c:v>
                </c:pt>
                <c:pt idx="2">
                  <c:v>-4.75</c:v>
                </c:pt>
                <c:pt idx="3">
                  <c:v>-16</c:v>
                </c:pt>
                <c:pt idx="4">
                  <c:v>-22.75</c:v>
                </c:pt>
                <c:pt idx="5">
                  <c:v>-25</c:v>
                </c:pt>
                <c:pt idx="6">
                  <c:v>-22.75</c:v>
                </c:pt>
                <c:pt idx="7">
                  <c:v>-16</c:v>
                </c:pt>
                <c:pt idx="8">
                  <c:v>-4.75</c:v>
                </c:pt>
                <c:pt idx="9">
                  <c:v>11</c:v>
                </c:pt>
                <c:pt idx="10">
                  <c:v>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6-4573-BD82-2CA7728A294C}"/>
            </c:ext>
          </c:extLst>
        </c:ser>
        <c:ser>
          <c:idx val="1"/>
          <c:order val="1"/>
          <c:tx>
            <c:strRef>
              <c:f>'Задание 3'!$A$3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1">
                <a:shade val="53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3'!$B$3:$L$3</c:f>
              <c:numCache>
                <c:formatCode>General</c:formatCode>
                <c:ptCount val="11"/>
                <c:pt idx="0">
                  <c:v>40.25</c:v>
                </c:pt>
                <c:pt idx="1">
                  <c:v>20</c:v>
                </c:pt>
                <c:pt idx="2">
                  <c:v>4.25</c:v>
                </c:pt>
                <c:pt idx="3">
                  <c:v>-7</c:v>
                </c:pt>
                <c:pt idx="4">
                  <c:v>-13.75</c:v>
                </c:pt>
                <c:pt idx="5">
                  <c:v>-16</c:v>
                </c:pt>
                <c:pt idx="6">
                  <c:v>-13.75</c:v>
                </c:pt>
                <c:pt idx="7">
                  <c:v>-7</c:v>
                </c:pt>
                <c:pt idx="8">
                  <c:v>4.25</c:v>
                </c:pt>
                <c:pt idx="9">
                  <c:v>20</c:v>
                </c:pt>
                <c:pt idx="10">
                  <c:v>40.25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46-4573-BD82-2CA7728A294C}"/>
            </c:ext>
          </c:extLst>
        </c:ser>
        <c:ser>
          <c:idx val="2"/>
          <c:order val="2"/>
          <c:tx>
            <c:strRef>
              <c:f>'Задание 3'!$A$4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3'!$B$4:$L$4</c:f>
              <c:numCache>
                <c:formatCode>General</c:formatCode>
                <c:ptCount val="11"/>
                <c:pt idx="0">
                  <c:v>47.25</c:v>
                </c:pt>
                <c:pt idx="1">
                  <c:v>27</c:v>
                </c:pt>
                <c:pt idx="2">
                  <c:v>11.25</c:v>
                </c:pt>
                <c:pt idx="3">
                  <c:v>0</c:v>
                </c:pt>
                <c:pt idx="4">
                  <c:v>-6.75</c:v>
                </c:pt>
                <c:pt idx="5">
                  <c:v>-9</c:v>
                </c:pt>
                <c:pt idx="6">
                  <c:v>-6.75</c:v>
                </c:pt>
                <c:pt idx="7">
                  <c:v>0</c:v>
                </c:pt>
                <c:pt idx="8">
                  <c:v>11.25</c:v>
                </c:pt>
                <c:pt idx="9">
                  <c:v>27</c:v>
                </c:pt>
                <c:pt idx="10">
                  <c:v>47.25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46-4573-BD82-2CA7728A294C}"/>
            </c:ext>
          </c:extLst>
        </c:ser>
        <c:ser>
          <c:idx val="3"/>
          <c:order val="3"/>
          <c:tx>
            <c:strRef>
              <c:f>'Задание 3'!$A$5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3'!$B$5:$L$5</c:f>
              <c:numCache>
                <c:formatCode>General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46-4573-BD82-2CA7728A294C}"/>
            </c:ext>
          </c:extLst>
        </c:ser>
        <c:ser>
          <c:idx val="4"/>
          <c:order val="4"/>
          <c:tx>
            <c:strRef>
              <c:f>'Задание 3'!$A$6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1">
                <a:shade val="88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3'!$B$6:$L$6</c:f>
              <c:numCache>
                <c:formatCode>General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46-4573-BD82-2CA7728A294C}"/>
            </c:ext>
          </c:extLst>
        </c:ser>
        <c:ser>
          <c:idx val="5"/>
          <c:order val="5"/>
          <c:tx>
            <c:strRef>
              <c:f>'Задание 3'!$A$7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3'!$B$7:$L$7</c:f>
              <c:numCache>
                <c:formatCode>General</c:formatCode>
                <c:ptCount val="11"/>
                <c:pt idx="0">
                  <c:v>56.25</c:v>
                </c:pt>
                <c:pt idx="1">
                  <c:v>36</c:v>
                </c:pt>
                <c:pt idx="2">
                  <c:v>20.25</c:v>
                </c:pt>
                <c:pt idx="3">
                  <c:v>9</c:v>
                </c:pt>
                <c:pt idx="4">
                  <c:v>2.25</c:v>
                </c:pt>
                <c:pt idx="5">
                  <c:v>0</c:v>
                </c:pt>
                <c:pt idx="6">
                  <c:v>2.25</c:v>
                </c:pt>
                <c:pt idx="7">
                  <c:v>9</c:v>
                </c:pt>
                <c:pt idx="8">
                  <c:v>20.25</c:v>
                </c:pt>
                <c:pt idx="9">
                  <c:v>36</c:v>
                </c:pt>
                <c:pt idx="10">
                  <c:v>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46-4573-BD82-2CA7728A294C}"/>
            </c:ext>
          </c:extLst>
        </c:ser>
        <c:ser>
          <c:idx val="6"/>
          <c:order val="6"/>
          <c:tx>
            <c:strRef>
              <c:f>'Задание 3'!$A$8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tint val="89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3'!$B$8:$L$8</c:f>
              <c:numCache>
                <c:formatCode>General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46-4573-BD82-2CA7728A294C}"/>
            </c:ext>
          </c:extLst>
        </c:ser>
        <c:ser>
          <c:idx val="7"/>
          <c:order val="7"/>
          <c:tx>
            <c:strRef>
              <c:f>'Задание 3'!$A$9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3'!$B$9:$L$9</c:f>
              <c:numCache>
                <c:formatCode>General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946-4573-BD82-2CA7728A294C}"/>
            </c:ext>
          </c:extLst>
        </c:ser>
        <c:ser>
          <c:idx val="8"/>
          <c:order val="8"/>
          <c:tx>
            <c:strRef>
              <c:f>'Задание 3'!$A$10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3'!$B$10:$L$10</c:f>
              <c:numCache>
                <c:formatCode>General</c:formatCode>
                <c:ptCount val="11"/>
                <c:pt idx="0">
                  <c:v>47.25</c:v>
                </c:pt>
                <c:pt idx="1">
                  <c:v>27</c:v>
                </c:pt>
                <c:pt idx="2">
                  <c:v>11.25</c:v>
                </c:pt>
                <c:pt idx="3">
                  <c:v>0</c:v>
                </c:pt>
                <c:pt idx="4">
                  <c:v>-6.75</c:v>
                </c:pt>
                <c:pt idx="5">
                  <c:v>-9</c:v>
                </c:pt>
                <c:pt idx="6">
                  <c:v>-6.75</c:v>
                </c:pt>
                <c:pt idx="7">
                  <c:v>0</c:v>
                </c:pt>
                <c:pt idx="8">
                  <c:v>11.25</c:v>
                </c:pt>
                <c:pt idx="9">
                  <c:v>27</c:v>
                </c:pt>
                <c:pt idx="10">
                  <c:v>47.25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46-4573-BD82-2CA7728A294C}"/>
            </c:ext>
          </c:extLst>
        </c:ser>
        <c:ser>
          <c:idx val="9"/>
          <c:order val="9"/>
          <c:tx>
            <c:strRef>
              <c:f>'Задание 3'!$A$11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>
                <a:tint val="54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3'!$B$11:$L$11</c:f>
              <c:numCache>
                <c:formatCode>General</c:formatCode>
                <c:ptCount val="11"/>
                <c:pt idx="0">
                  <c:v>40.25</c:v>
                </c:pt>
                <c:pt idx="1">
                  <c:v>20</c:v>
                </c:pt>
                <c:pt idx="2">
                  <c:v>4.25</c:v>
                </c:pt>
                <c:pt idx="3">
                  <c:v>-7</c:v>
                </c:pt>
                <c:pt idx="4">
                  <c:v>-13.75</c:v>
                </c:pt>
                <c:pt idx="5">
                  <c:v>-16</c:v>
                </c:pt>
                <c:pt idx="6">
                  <c:v>-13.75</c:v>
                </c:pt>
                <c:pt idx="7">
                  <c:v>-7</c:v>
                </c:pt>
                <c:pt idx="8">
                  <c:v>4.25</c:v>
                </c:pt>
                <c:pt idx="9">
                  <c:v>20</c:v>
                </c:pt>
                <c:pt idx="10">
                  <c:v>40.25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946-4573-BD82-2CA7728A294C}"/>
            </c:ext>
          </c:extLst>
        </c:ser>
        <c:ser>
          <c:idx val="10"/>
          <c:order val="10"/>
          <c:tx>
            <c:strRef>
              <c:f>'Задание 3'!$A$12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>
                <a:tint val="42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3'!$B$12:$L$12</c:f>
              <c:numCache>
                <c:formatCode>General</c:formatCode>
                <c:ptCount val="11"/>
                <c:pt idx="0">
                  <c:v>31.25</c:v>
                </c:pt>
                <c:pt idx="1">
                  <c:v>11</c:v>
                </c:pt>
                <c:pt idx="2">
                  <c:v>-4.75</c:v>
                </c:pt>
                <c:pt idx="3">
                  <c:v>-16</c:v>
                </c:pt>
                <c:pt idx="4">
                  <c:v>-22.75</c:v>
                </c:pt>
                <c:pt idx="5">
                  <c:v>-25</c:v>
                </c:pt>
                <c:pt idx="6">
                  <c:v>-22.75</c:v>
                </c:pt>
                <c:pt idx="7">
                  <c:v>-16</c:v>
                </c:pt>
                <c:pt idx="8">
                  <c:v>-4.75</c:v>
                </c:pt>
                <c:pt idx="9">
                  <c:v>11</c:v>
                </c:pt>
                <c:pt idx="10">
                  <c:v>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46-4573-BD82-2CA7728A294C}"/>
            </c:ext>
          </c:extLst>
        </c:ser>
        <c:bandFmts>
          <c:bandFmt>
            <c:idx val="0"/>
            <c:spPr>
              <a:solidFill>
                <a:schemeClr val="accent1">
                  <a:shade val="50000"/>
                </a:schemeClr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1">
                  <a:shade val="70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1">
                  <a:shade val="90000"/>
                </a:schemeClr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1">
                  <a:tint val="90000"/>
                </a:schemeClr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1">
                  <a:tint val="70000"/>
                </a:schemeClr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1">
                  <a:tint val="50000"/>
                </a:schemeClr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tint val="3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1">
                  <a:tint val="1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1">
                  <a:tint val="9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1">
                  <a:tint val="7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1">
                  <a:tint val="5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1">
                  <a:tint val="3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tint val="1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1">
                  <a:tint val="9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1">
                  <a:tint val="70000"/>
                </a:schemeClr>
              </a:solidFill>
              <a:ln/>
              <a:effectLst/>
              <a:sp3d/>
            </c:spPr>
          </c:bandFmt>
        </c:bandFmts>
        <c:axId val="1242561392"/>
        <c:axId val="1244924528"/>
        <c:axId val="1146609504"/>
      </c:surface3DChart>
      <c:catAx>
        <c:axId val="1242561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4924528"/>
        <c:crosses val="autoZero"/>
        <c:auto val="1"/>
        <c:lblAlgn val="ctr"/>
        <c:lblOffset val="100"/>
        <c:noMultiLvlLbl val="0"/>
      </c:catAx>
      <c:valAx>
        <c:axId val="124492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2561392"/>
        <c:crosses val="autoZero"/>
        <c:crossBetween val="midCat"/>
      </c:valAx>
      <c:serAx>
        <c:axId val="11466095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492452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189570</xdr:rowOff>
    </xdr:from>
    <xdr:to>
      <xdr:col>8</xdr:col>
      <xdr:colOff>0</xdr:colOff>
      <xdr:row>20</xdr:row>
      <xdr:rowOff>179613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552FBC7-3D1D-4552-8636-6B2EF103C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27014</xdr:colOff>
      <xdr:row>15</xdr:row>
      <xdr:rowOff>28675</xdr:rowOff>
    </xdr:from>
    <xdr:to>
      <xdr:col>7</xdr:col>
      <xdr:colOff>254221</xdr:colOff>
      <xdr:row>16</xdr:row>
      <xdr:rowOff>53767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A725BD-2A07-4F35-83B4-6986B250F08A}"/>
            </a:ext>
          </a:extLst>
        </xdr:cNvPr>
        <xdr:cNvSpPr txBox="1"/>
      </xdr:nvSpPr>
      <xdr:spPr>
        <a:xfrm>
          <a:off x="4294214" y="2886175"/>
          <a:ext cx="227207" cy="21559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X</a:t>
          </a:r>
          <a:endParaRPr lang="ru-RU" sz="1100" b="1"/>
        </a:p>
      </xdr:txBody>
    </xdr:sp>
    <xdr:clientData/>
  </xdr:twoCellAnchor>
  <xdr:twoCellAnchor>
    <xdr:from>
      <xdr:col>0</xdr:col>
      <xdr:colOff>448570</xdr:colOff>
      <xdr:row>8</xdr:row>
      <xdr:rowOff>114964</xdr:rowOff>
    </xdr:from>
    <xdr:to>
      <xdr:col>1</xdr:col>
      <xdr:colOff>43410</xdr:colOff>
      <xdr:row>9</xdr:row>
      <xdr:rowOff>128904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F7E73A7-2DAF-4095-85A7-ACC7ACA01D89}"/>
            </a:ext>
          </a:extLst>
        </xdr:cNvPr>
        <xdr:cNvSpPr txBox="1"/>
      </xdr:nvSpPr>
      <xdr:spPr>
        <a:xfrm>
          <a:off x="448570" y="1638964"/>
          <a:ext cx="204440" cy="20444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Y</a:t>
          </a:r>
          <a:endParaRPr lang="ru-RU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185736</xdr:rowOff>
    </xdr:from>
    <xdr:to>
      <xdr:col>7</xdr:col>
      <xdr:colOff>600074</xdr:colOff>
      <xdr:row>20</xdr:row>
      <xdr:rowOff>171449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870C454-A213-4522-862F-92E57A7BD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4141</xdr:colOff>
      <xdr:row>6</xdr:row>
      <xdr:rowOff>11596</xdr:rowOff>
    </xdr:from>
    <xdr:to>
      <xdr:col>17</xdr:col>
      <xdr:colOff>8282</xdr:colOff>
      <xdr:row>21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219A2A1-7948-4E67-AEF9-5AC5DE599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604836</xdr:colOff>
      <xdr:row>5</xdr:row>
      <xdr:rowOff>185737</xdr:rowOff>
    </xdr:from>
    <xdr:to>
      <xdr:col>27</xdr:col>
      <xdr:colOff>609599</xdr:colOff>
      <xdr:row>21</xdr:row>
      <xdr:rowOff>9525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4BE352A-BE10-45F1-876A-FD918C40A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24274</xdr:rowOff>
    </xdr:from>
    <xdr:to>
      <xdr:col>8</xdr:col>
      <xdr:colOff>0</xdr:colOff>
      <xdr:row>39</xdr:row>
      <xdr:rowOff>182217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C4AEE106-1E2B-470D-9CF3-6BEF0DEFD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4762</xdr:colOff>
      <xdr:row>24</xdr:row>
      <xdr:rowOff>185737</xdr:rowOff>
    </xdr:from>
    <xdr:to>
      <xdr:col>25</xdr:col>
      <xdr:colOff>0</xdr:colOff>
      <xdr:row>39</xdr:row>
      <xdr:rowOff>9525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65FD132-5215-4AE8-8A9D-070DA5AF0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4140</xdr:colOff>
      <xdr:row>45</xdr:row>
      <xdr:rowOff>3314</xdr:rowOff>
    </xdr:from>
    <xdr:to>
      <xdr:col>8</xdr:col>
      <xdr:colOff>16565</xdr:colOff>
      <xdr:row>59</xdr:row>
      <xdr:rowOff>16565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4B5ECB04-AE49-4BCF-81AF-5739C4A34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595</xdr:rowOff>
    </xdr:from>
    <xdr:to>
      <xdr:col>7</xdr:col>
      <xdr:colOff>600808</xdr:colOff>
      <xdr:row>27</xdr:row>
      <xdr:rowOff>7327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D322DBC-FC64-49F0-87C5-2DADB4AE9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F057-44DA-470A-975C-4EEAA8F6D337}">
  <dimension ref="A1:U27"/>
  <sheetViews>
    <sheetView zoomScale="160" zoomScaleNormal="160" zoomScalePageLayoutView="130" workbookViewId="0">
      <selection activeCell="A5" sqref="A5:H5"/>
    </sheetView>
  </sheetViews>
  <sheetFormatPr defaultRowHeight="15" x14ac:dyDescent="0.25"/>
  <cols>
    <col min="11" max="11" width="10.28515625" bestFit="1" customWidth="1"/>
  </cols>
  <sheetData>
    <row r="1" spans="1:21" x14ac:dyDescent="0.25">
      <c r="A1" s="2" t="s">
        <v>0</v>
      </c>
      <c r="B1" s="2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" t="s">
        <v>1</v>
      </c>
      <c r="B2" s="2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 t="s">
        <v>2</v>
      </c>
      <c r="B4" s="3">
        <v>-3</v>
      </c>
      <c r="C4" s="3">
        <v>-2</v>
      </c>
      <c r="D4" s="3">
        <v>-1</v>
      </c>
      <c r="E4" s="3">
        <v>0</v>
      </c>
      <c r="F4" s="3">
        <v>1</v>
      </c>
      <c r="G4" s="3">
        <v>2</v>
      </c>
      <c r="H4" s="3">
        <v>3</v>
      </c>
      <c r="I4" s="1"/>
      <c r="J4" s="1"/>
      <c r="K4" s="1"/>
      <c r="L4" s="1"/>
      <c r="M4" s="1"/>
    </row>
    <row r="5" spans="1:21" x14ac:dyDescent="0.25">
      <c r="A5" s="3" t="s">
        <v>3</v>
      </c>
      <c r="B5" s="3">
        <f>$B1*B4+$B2</f>
        <v>-3</v>
      </c>
      <c r="C5" s="3">
        <f t="shared" ref="C5:G5" si="0">$B1*C4+$B2</f>
        <v>-1</v>
      </c>
      <c r="D5" s="3">
        <f t="shared" si="0"/>
        <v>1</v>
      </c>
      <c r="E5" s="3">
        <f t="shared" si="0"/>
        <v>3</v>
      </c>
      <c r="F5" s="3">
        <f t="shared" si="0"/>
        <v>5</v>
      </c>
      <c r="G5" s="3">
        <f t="shared" si="0"/>
        <v>7</v>
      </c>
      <c r="H5" s="3">
        <f>$B1*H4+$B2</f>
        <v>9</v>
      </c>
      <c r="I5" s="1"/>
      <c r="J5" s="1"/>
      <c r="K5" s="1"/>
      <c r="L5" s="1"/>
      <c r="M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</sheetData>
  <pageMargins left="0.7" right="0.7" top="0.75" bottom="0.75" header="0.3" footer="0.3"/>
  <pageSetup paperSize="9" orientation="portrait" r:id="rId1"/>
  <headerFooter>
    <oddHeader>&amp;LШульгаЕЕ_2.1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E88D-E9C1-487E-A9A5-C11ACD67FE61}">
  <dimension ref="A1:AB44"/>
  <sheetViews>
    <sheetView zoomScale="70" zoomScaleNormal="70" workbookViewId="0">
      <selection activeCell="M51" sqref="M51"/>
    </sheetView>
  </sheetViews>
  <sheetFormatPr defaultRowHeight="15" x14ac:dyDescent="0.25"/>
  <sheetData>
    <row r="1" spans="1:28" x14ac:dyDescent="0.25">
      <c r="A1" s="2" t="s">
        <v>0</v>
      </c>
      <c r="B1" s="2">
        <v>2</v>
      </c>
    </row>
    <row r="2" spans="1:28" x14ac:dyDescent="0.25">
      <c r="A2" s="2" t="s">
        <v>1</v>
      </c>
      <c r="B2" s="2">
        <v>3</v>
      </c>
    </row>
    <row r="4" spans="1:28" x14ac:dyDescent="0.25">
      <c r="A4" s="3" t="s">
        <v>2</v>
      </c>
      <c r="B4" s="3">
        <v>-3</v>
      </c>
      <c r="C4" s="3">
        <v>-2</v>
      </c>
      <c r="D4" s="3">
        <v>-1</v>
      </c>
      <c r="E4" s="3">
        <v>0</v>
      </c>
      <c r="F4" s="3">
        <v>1</v>
      </c>
      <c r="G4" s="3">
        <v>2</v>
      </c>
      <c r="H4" s="3">
        <v>3</v>
      </c>
      <c r="J4" s="3" t="s">
        <v>2</v>
      </c>
      <c r="K4" s="3">
        <v>0</v>
      </c>
      <c r="L4" s="3">
        <v>1</v>
      </c>
      <c r="M4" s="3">
        <v>4</v>
      </c>
      <c r="N4" s="3">
        <v>9</v>
      </c>
      <c r="O4" s="3">
        <v>16</v>
      </c>
      <c r="P4" s="3">
        <v>25</v>
      </c>
      <c r="Q4" s="3">
        <v>36</v>
      </c>
      <c r="S4" s="3" t="s">
        <v>2</v>
      </c>
      <c r="T4" s="3">
        <v>-4</v>
      </c>
      <c r="U4" s="3">
        <v>-3</v>
      </c>
      <c r="V4" s="3">
        <v>-2</v>
      </c>
      <c r="W4" s="3">
        <v>-1</v>
      </c>
      <c r="X4" s="3">
        <v>0</v>
      </c>
      <c r="Y4" s="3">
        <v>1</v>
      </c>
      <c r="Z4" s="3">
        <v>2</v>
      </c>
      <c r="AA4" s="5">
        <v>3</v>
      </c>
      <c r="AB4" s="5">
        <v>4</v>
      </c>
    </row>
    <row r="5" spans="1:28" x14ac:dyDescent="0.25">
      <c r="A5" s="3" t="s">
        <v>3</v>
      </c>
      <c r="B5" s="3">
        <f>POWER(2,B4)+3</f>
        <v>3.125</v>
      </c>
      <c r="C5" s="3">
        <f t="shared" ref="C5:H5" si="0">POWER(2,C4)+3</f>
        <v>3.25</v>
      </c>
      <c r="D5" s="3">
        <f t="shared" si="0"/>
        <v>3.5</v>
      </c>
      <c r="E5" s="3">
        <f t="shared" si="0"/>
        <v>4</v>
      </c>
      <c r="F5" s="3">
        <f t="shared" si="0"/>
        <v>5</v>
      </c>
      <c r="G5" s="3">
        <f t="shared" si="0"/>
        <v>7</v>
      </c>
      <c r="H5" s="3">
        <f t="shared" si="0"/>
        <v>11</v>
      </c>
      <c r="J5" s="3" t="s">
        <v>3</v>
      </c>
      <c r="K5" s="5">
        <f>SQRT(K4)</f>
        <v>0</v>
      </c>
      <c r="L5" s="5">
        <f t="shared" ref="L5:Q5" si="1">SQRT(L4)</f>
        <v>1</v>
      </c>
      <c r="M5" s="5">
        <f t="shared" si="1"/>
        <v>2</v>
      </c>
      <c r="N5" s="5">
        <f t="shared" si="1"/>
        <v>3</v>
      </c>
      <c r="O5" s="5">
        <f t="shared" si="1"/>
        <v>4</v>
      </c>
      <c r="P5" s="5">
        <f t="shared" si="1"/>
        <v>5</v>
      </c>
      <c r="Q5" s="5">
        <f t="shared" si="1"/>
        <v>6</v>
      </c>
      <c r="S5" s="3" t="s">
        <v>3</v>
      </c>
      <c r="T5" s="5">
        <f>7-ABS(T4)</f>
        <v>3</v>
      </c>
      <c r="U5" s="5">
        <f t="shared" ref="U5:AB5" si="2">7-ABS(U4)</f>
        <v>4</v>
      </c>
      <c r="V5" s="5">
        <f t="shared" si="2"/>
        <v>5</v>
      </c>
      <c r="W5" s="5">
        <f t="shared" si="2"/>
        <v>6</v>
      </c>
      <c r="X5" s="5">
        <f t="shared" si="2"/>
        <v>7</v>
      </c>
      <c r="Y5" s="5">
        <f t="shared" si="2"/>
        <v>6</v>
      </c>
      <c r="Z5" s="5">
        <f t="shared" si="2"/>
        <v>5</v>
      </c>
      <c r="AA5" s="5">
        <f t="shared" si="2"/>
        <v>4</v>
      </c>
      <c r="AB5" s="5">
        <f t="shared" si="2"/>
        <v>3</v>
      </c>
    </row>
    <row r="23" spans="1:25" x14ac:dyDescent="0.25">
      <c r="A23" s="3" t="s">
        <v>2</v>
      </c>
      <c r="B23" s="4">
        <v>-5</v>
      </c>
      <c r="C23" s="4">
        <v>-4</v>
      </c>
      <c r="D23" s="4">
        <v>-3</v>
      </c>
      <c r="E23" s="4">
        <v>-2</v>
      </c>
      <c r="F23" s="4">
        <v>-1</v>
      </c>
      <c r="G23" s="4">
        <v>-0.5</v>
      </c>
      <c r="H23" s="4">
        <v>-0.25</v>
      </c>
      <c r="I23" s="4"/>
      <c r="J23" s="4">
        <v>0.25</v>
      </c>
      <c r="K23" s="4">
        <v>0.5</v>
      </c>
      <c r="L23" s="4">
        <v>1</v>
      </c>
      <c r="M23" s="4">
        <v>2</v>
      </c>
      <c r="N23" s="4">
        <v>3</v>
      </c>
      <c r="O23" s="4">
        <v>4</v>
      </c>
      <c r="P23" s="4">
        <v>5</v>
      </c>
      <c r="R23" s="3" t="s">
        <v>2</v>
      </c>
      <c r="S23" s="3">
        <v>0.25</v>
      </c>
      <c r="T23" s="3">
        <v>0.5</v>
      </c>
      <c r="U23" s="3">
        <v>1</v>
      </c>
      <c r="V23" s="3">
        <v>2</v>
      </c>
      <c r="W23" s="3">
        <v>3</v>
      </c>
      <c r="X23" s="3">
        <v>4</v>
      </c>
      <c r="Y23" s="3">
        <v>5</v>
      </c>
    </row>
    <row r="24" spans="1:25" x14ac:dyDescent="0.25">
      <c r="A24" s="3" t="s">
        <v>3</v>
      </c>
      <c r="B24" s="4">
        <f>1/B23</f>
        <v>-0.2</v>
      </c>
      <c r="C24" s="4">
        <f t="shared" ref="C24:O24" si="3">1/C23</f>
        <v>-0.25</v>
      </c>
      <c r="D24" s="4">
        <f t="shared" si="3"/>
        <v>-0.33333333333333331</v>
      </c>
      <c r="E24" s="4">
        <f t="shared" si="3"/>
        <v>-0.5</v>
      </c>
      <c r="F24" s="4">
        <f t="shared" si="3"/>
        <v>-1</v>
      </c>
      <c r="G24" s="4">
        <f t="shared" si="3"/>
        <v>-2</v>
      </c>
      <c r="H24" s="4">
        <f t="shared" si="3"/>
        <v>-4</v>
      </c>
      <c r="I24" s="4"/>
      <c r="J24" s="4">
        <f>1/J23</f>
        <v>4</v>
      </c>
      <c r="K24" s="4">
        <f>1/K23</f>
        <v>2</v>
      </c>
      <c r="L24" s="4">
        <f>1/L23</f>
        <v>1</v>
      </c>
      <c r="M24" s="4">
        <f>1/M23</f>
        <v>0.5</v>
      </c>
      <c r="N24" s="4">
        <f>1/N23</f>
        <v>0.33333333333333331</v>
      </c>
      <c r="O24" s="4">
        <f>1/O23</f>
        <v>0.25</v>
      </c>
      <c r="P24" s="4">
        <f>1/P23</f>
        <v>0.2</v>
      </c>
      <c r="R24" s="3" t="s">
        <v>3</v>
      </c>
      <c r="S24" s="5">
        <f>LN(S23)</f>
        <v>-1.3862943611198906</v>
      </c>
      <c r="T24" s="5">
        <f t="shared" ref="T24:Y24" si="4">LN(T23)</f>
        <v>-0.69314718055994529</v>
      </c>
      <c r="U24" s="5">
        <f t="shared" si="4"/>
        <v>0</v>
      </c>
      <c r="V24" s="5">
        <f t="shared" si="4"/>
        <v>0.69314718055994529</v>
      </c>
      <c r="W24" s="5">
        <f t="shared" si="4"/>
        <v>1.0986122886681098</v>
      </c>
      <c r="X24" s="5">
        <f t="shared" si="4"/>
        <v>1.3862943611198906</v>
      </c>
      <c r="Y24" s="5">
        <f t="shared" si="4"/>
        <v>1.6094379124341003</v>
      </c>
    </row>
    <row r="43" spans="1:8" x14ac:dyDescent="0.25">
      <c r="A43" s="3" t="s">
        <v>2</v>
      </c>
      <c r="B43" s="3">
        <v>0.25</v>
      </c>
      <c r="C43" s="3">
        <v>0.5</v>
      </c>
      <c r="D43" s="3">
        <v>1</v>
      </c>
      <c r="E43" s="3">
        <v>2</v>
      </c>
      <c r="F43" s="3">
        <v>3</v>
      </c>
      <c r="G43" s="3">
        <v>4</v>
      </c>
      <c r="H43" s="3">
        <v>5</v>
      </c>
    </row>
    <row r="44" spans="1:8" x14ac:dyDescent="0.25">
      <c r="A44" s="3" t="s">
        <v>3</v>
      </c>
      <c r="B44" s="5">
        <f>LN(5)</f>
        <v>1.6094379124341003</v>
      </c>
      <c r="C44" s="5">
        <f t="shared" ref="C44:H44" si="5">LN(5)</f>
        <v>1.6094379124341003</v>
      </c>
      <c r="D44" s="5">
        <f t="shared" si="5"/>
        <v>1.6094379124341003</v>
      </c>
      <c r="E44" s="5">
        <f t="shared" si="5"/>
        <v>1.6094379124341003</v>
      </c>
      <c r="F44" s="5">
        <f t="shared" si="5"/>
        <v>1.6094379124341003</v>
      </c>
      <c r="G44" s="5">
        <f t="shared" si="5"/>
        <v>1.6094379124341003</v>
      </c>
      <c r="H44" s="5">
        <f t="shared" si="5"/>
        <v>1.6094379124341003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7FB38-77AA-4AD1-BF82-7467B40D8A0A}">
  <dimension ref="A1:L12"/>
  <sheetViews>
    <sheetView tabSelected="1" zoomScale="130" zoomScaleNormal="130" workbookViewId="0">
      <selection activeCell="N18" sqref="N18"/>
    </sheetView>
  </sheetViews>
  <sheetFormatPr defaultRowHeight="15" x14ac:dyDescent="0.25"/>
  <sheetData>
    <row r="1" spans="1:12" x14ac:dyDescent="0.25">
      <c r="B1" s="6">
        <v>-7.5</v>
      </c>
      <c r="C1" s="6">
        <v>-6</v>
      </c>
      <c r="D1" s="6">
        <v>-4.5</v>
      </c>
      <c r="E1" s="6">
        <v>-3</v>
      </c>
      <c r="F1" s="6">
        <v>-1.5</v>
      </c>
      <c r="G1" s="6">
        <v>0</v>
      </c>
      <c r="H1" s="6">
        <v>1.5</v>
      </c>
      <c r="I1" s="6">
        <v>3</v>
      </c>
      <c r="J1" s="6">
        <v>4.5</v>
      </c>
      <c r="K1" s="6">
        <v>6</v>
      </c>
      <c r="L1" s="6">
        <v>7.5</v>
      </c>
    </row>
    <row r="2" spans="1:12" x14ac:dyDescent="0.25">
      <c r="A2" s="6">
        <v>-5</v>
      </c>
      <c r="B2">
        <f>POWER(B$1,2)-POWER($A2,2)</f>
        <v>31.25</v>
      </c>
      <c r="C2">
        <f t="shared" ref="C2:L12" si="0">POWER(C$1,2)-POWER($A2,2)</f>
        <v>11</v>
      </c>
      <c r="D2">
        <f t="shared" si="0"/>
        <v>-4.75</v>
      </c>
      <c r="E2">
        <f t="shared" si="0"/>
        <v>-16</v>
      </c>
      <c r="F2">
        <f t="shared" si="0"/>
        <v>-22.75</v>
      </c>
      <c r="G2">
        <f t="shared" si="0"/>
        <v>-25</v>
      </c>
      <c r="H2">
        <f t="shared" si="0"/>
        <v>-22.75</v>
      </c>
      <c r="I2">
        <f t="shared" si="0"/>
        <v>-16</v>
      </c>
      <c r="J2">
        <f t="shared" si="0"/>
        <v>-4.75</v>
      </c>
      <c r="K2">
        <f t="shared" si="0"/>
        <v>11</v>
      </c>
      <c r="L2">
        <f t="shared" si="0"/>
        <v>31.25</v>
      </c>
    </row>
    <row r="3" spans="1:12" x14ac:dyDescent="0.25">
      <c r="A3" s="6">
        <v>-4</v>
      </c>
      <c r="B3">
        <f t="shared" ref="B3:B12" si="1">POWER(B$1,2)-POWER($A3,2)</f>
        <v>40.25</v>
      </c>
      <c r="C3">
        <f t="shared" si="0"/>
        <v>20</v>
      </c>
      <c r="D3">
        <f t="shared" si="0"/>
        <v>4.25</v>
      </c>
      <c r="E3">
        <f t="shared" si="0"/>
        <v>-7</v>
      </c>
      <c r="F3">
        <f t="shared" si="0"/>
        <v>-13.75</v>
      </c>
      <c r="G3">
        <f t="shared" si="0"/>
        <v>-16</v>
      </c>
      <c r="H3">
        <f t="shared" si="0"/>
        <v>-13.75</v>
      </c>
      <c r="I3">
        <f t="shared" si="0"/>
        <v>-7</v>
      </c>
      <c r="J3">
        <f t="shared" si="0"/>
        <v>4.25</v>
      </c>
      <c r="K3">
        <f t="shared" si="0"/>
        <v>20</v>
      </c>
      <c r="L3">
        <f t="shared" si="0"/>
        <v>40.25</v>
      </c>
    </row>
    <row r="4" spans="1:12" x14ac:dyDescent="0.25">
      <c r="A4" s="6">
        <v>-3</v>
      </c>
      <c r="B4">
        <f t="shared" si="1"/>
        <v>47.25</v>
      </c>
      <c r="C4">
        <f t="shared" si="0"/>
        <v>27</v>
      </c>
      <c r="D4">
        <f t="shared" si="0"/>
        <v>11.25</v>
      </c>
      <c r="E4">
        <f t="shared" si="0"/>
        <v>0</v>
      </c>
      <c r="F4">
        <f t="shared" si="0"/>
        <v>-6.75</v>
      </c>
      <c r="G4">
        <f t="shared" si="0"/>
        <v>-9</v>
      </c>
      <c r="H4">
        <f t="shared" si="0"/>
        <v>-6.75</v>
      </c>
      <c r="I4">
        <f t="shared" si="0"/>
        <v>0</v>
      </c>
      <c r="J4">
        <f t="shared" si="0"/>
        <v>11.25</v>
      </c>
      <c r="K4">
        <f t="shared" si="0"/>
        <v>27</v>
      </c>
      <c r="L4">
        <f t="shared" si="0"/>
        <v>47.25</v>
      </c>
    </row>
    <row r="5" spans="1:12" x14ac:dyDescent="0.25">
      <c r="A5" s="6">
        <v>-2</v>
      </c>
      <c r="B5">
        <f t="shared" si="1"/>
        <v>52.25</v>
      </c>
      <c r="C5">
        <f t="shared" si="0"/>
        <v>32</v>
      </c>
      <c r="D5">
        <f t="shared" si="0"/>
        <v>16.25</v>
      </c>
      <c r="E5">
        <f t="shared" si="0"/>
        <v>5</v>
      </c>
      <c r="F5">
        <f t="shared" si="0"/>
        <v>-1.75</v>
      </c>
      <c r="G5">
        <f t="shared" si="0"/>
        <v>-4</v>
      </c>
      <c r="H5">
        <f t="shared" si="0"/>
        <v>-1.75</v>
      </c>
      <c r="I5">
        <f t="shared" si="0"/>
        <v>5</v>
      </c>
      <c r="J5">
        <f t="shared" si="0"/>
        <v>16.25</v>
      </c>
      <c r="K5">
        <f t="shared" si="0"/>
        <v>32</v>
      </c>
      <c r="L5">
        <f t="shared" si="0"/>
        <v>52.25</v>
      </c>
    </row>
    <row r="6" spans="1:12" x14ac:dyDescent="0.25">
      <c r="A6" s="6">
        <v>-1</v>
      </c>
      <c r="B6">
        <f t="shared" si="1"/>
        <v>55.25</v>
      </c>
      <c r="C6">
        <f t="shared" si="0"/>
        <v>35</v>
      </c>
      <c r="D6">
        <f t="shared" si="0"/>
        <v>19.25</v>
      </c>
      <c r="E6">
        <f t="shared" si="0"/>
        <v>8</v>
      </c>
      <c r="F6">
        <f t="shared" si="0"/>
        <v>1.25</v>
      </c>
      <c r="G6">
        <f t="shared" si="0"/>
        <v>-1</v>
      </c>
      <c r="H6">
        <f t="shared" si="0"/>
        <v>1.25</v>
      </c>
      <c r="I6">
        <f t="shared" si="0"/>
        <v>8</v>
      </c>
      <c r="J6">
        <f t="shared" si="0"/>
        <v>19.25</v>
      </c>
      <c r="K6">
        <f t="shared" si="0"/>
        <v>35</v>
      </c>
      <c r="L6">
        <f t="shared" si="0"/>
        <v>55.25</v>
      </c>
    </row>
    <row r="7" spans="1:12" x14ac:dyDescent="0.25">
      <c r="A7" s="6">
        <v>0</v>
      </c>
      <c r="B7">
        <f t="shared" si="1"/>
        <v>56.25</v>
      </c>
      <c r="C7">
        <f t="shared" si="0"/>
        <v>36</v>
      </c>
      <c r="D7">
        <f t="shared" si="0"/>
        <v>20.25</v>
      </c>
      <c r="E7">
        <f t="shared" si="0"/>
        <v>9</v>
      </c>
      <c r="F7">
        <f t="shared" si="0"/>
        <v>2.25</v>
      </c>
      <c r="G7">
        <f t="shared" si="0"/>
        <v>0</v>
      </c>
      <c r="H7">
        <f t="shared" si="0"/>
        <v>2.25</v>
      </c>
      <c r="I7">
        <f t="shared" si="0"/>
        <v>9</v>
      </c>
      <c r="J7">
        <f t="shared" si="0"/>
        <v>20.25</v>
      </c>
      <c r="K7">
        <f t="shared" si="0"/>
        <v>36</v>
      </c>
      <c r="L7">
        <f t="shared" si="0"/>
        <v>56.25</v>
      </c>
    </row>
    <row r="8" spans="1:12" x14ac:dyDescent="0.25">
      <c r="A8" s="6">
        <v>1</v>
      </c>
      <c r="B8">
        <f t="shared" si="1"/>
        <v>55.25</v>
      </c>
      <c r="C8">
        <f t="shared" si="0"/>
        <v>35</v>
      </c>
      <c r="D8">
        <f t="shared" si="0"/>
        <v>19.25</v>
      </c>
      <c r="E8">
        <f t="shared" si="0"/>
        <v>8</v>
      </c>
      <c r="F8">
        <f t="shared" si="0"/>
        <v>1.25</v>
      </c>
      <c r="G8">
        <f t="shared" si="0"/>
        <v>-1</v>
      </c>
      <c r="H8">
        <f t="shared" si="0"/>
        <v>1.25</v>
      </c>
      <c r="I8">
        <f t="shared" si="0"/>
        <v>8</v>
      </c>
      <c r="J8">
        <f t="shared" si="0"/>
        <v>19.25</v>
      </c>
      <c r="K8">
        <f t="shared" si="0"/>
        <v>35</v>
      </c>
      <c r="L8">
        <f t="shared" si="0"/>
        <v>55.25</v>
      </c>
    </row>
    <row r="9" spans="1:12" x14ac:dyDescent="0.25">
      <c r="A9" s="6">
        <v>2</v>
      </c>
      <c r="B9">
        <f t="shared" si="1"/>
        <v>52.25</v>
      </c>
      <c r="C9">
        <f t="shared" si="0"/>
        <v>32</v>
      </c>
      <c r="D9">
        <f t="shared" si="0"/>
        <v>16.25</v>
      </c>
      <c r="E9">
        <f t="shared" si="0"/>
        <v>5</v>
      </c>
      <c r="F9">
        <f t="shared" si="0"/>
        <v>-1.75</v>
      </c>
      <c r="G9">
        <f t="shared" si="0"/>
        <v>-4</v>
      </c>
      <c r="H9">
        <f t="shared" si="0"/>
        <v>-1.75</v>
      </c>
      <c r="I9">
        <f t="shared" si="0"/>
        <v>5</v>
      </c>
      <c r="J9">
        <f t="shared" si="0"/>
        <v>16.25</v>
      </c>
      <c r="K9">
        <f t="shared" si="0"/>
        <v>32</v>
      </c>
      <c r="L9">
        <f t="shared" si="0"/>
        <v>52.25</v>
      </c>
    </row>
    <row r="10" spans="1:12" x14ac:dyDescent="0.25">
      <c r="A10" s="6">
        <v>3</v>
      </c>
      <c r="B10">
        <f t="shared" si="1"/>
        <v>47.25</v>
      </c>
      <c r="C10">
        <f t="shared" si="0"/>
        <v>27</v>
      </c>
      <c r="D10">
        <f t="shared" si="0"/>
        <v>11.25</v>
      </c>
      <c r="E10">
        <f t="shared" si="0"/>
        <v>0</v>
      </c>
      <c r="F10">
        <f t="shared" si="0"/>
        <v>-6.75</v>
      </c>
      <c r="G10">
        <f t="shared" si="0"/>
        <v>-9</v>
      </c>
      <c r="H10">
        <f t="shared" si="0"/>
        <v>-6.75</v>
      </c>
      <c r="I10">
        <f t="shared" si="0"/>
        <v>0</v>
      </c>
      <c r="J10">
        <f t="shared" si="0"/>
        <v>11.25</v>
      </c>
      <c r="K10">
        <f t="shared" si="0"/>
        <v>27</v>
      </c>
      <c r="L10">
        <f t="shared" si="0"/>
        <v>47.25</v>
      </c>
    </row>
    <row r="11" spans="1:12" x14ac:dyDescent="0.25">
      <c r="A11" s="6">
        <v>4</v>
      </c>
      <c r="B11">
        <f t="shared" si="1"/>
        <v>40.25</v>
      </c>
      <c r="C11">
        <f t="shared" si="0"/>
        <v>20</v>
      </c>
      <c r="D11">
        <f t="shared" si="0"/>
        <v>4.25</v>
      </c>
      <c r="E11">
        <f t="shared" si="0"/>
        <v>-7</v>
      </c>
      <c r="F11">
        <f t="shared" si="0"/>
        <v>-13.75</v>
      </c>
      <c r="G11">
        <f t="shared" si="0"/>
        <v>-16</v>
      </c>
      <c r="H11">
        <f t="shared" si="0"/>
        <v>-13.75</v>
      </c>
      <c r="I11">
        <f t="shared" si="0"/>
        <v>-7</v>
      </c>
      <c r="J11">
        <f t="shared" si="0"/>
        <v>4.25</v>
      </c>
      <c r="K11">
        <f t="shared" si="0"/>
        <v>20</v>
      </c>
      <c r="L11">
        <f t="shared" si="0"/>
        <v>40.25</v>
      </c>
    </row>
    <row r="12" spans="1:12" x14ac:dyDescent="0.25">
      <c r="A12" s="6">
        <v>5</v>
      </c>
      <c r="B12">
        <f t="shared" si="1"/>
        <v>31.25</v>
      </c>
      <c r="C12">
        <f t="shared" si="0"/>
        <v>11</v>
      </c>
      <c r="D12">
        <f t="shared" si="0"/>
        <v>-4.75</v>
      </c>
      <c r="E12">
        <f t="shared" si="0"/>
        <v>-16</v>
      </c>
      <c r="F12">
        <f t="shared" si="0"/>
        <v>-22.75</v>
      </c>
      <c r="G12">
        <f t="shared" si="0"/>
        <v>-25</v>
      </c>
      <c r="H12">
        <f t="shared" si="0"/>
        <v>-22.75</v>
      </c>
      <c r="I12">
        <f t="shared" si="0"/>
        <v>-16</v>
      </c>
      <c r="J12">
        <f t="shared" si="0"/>
        <v>-4.75</v>
      </c>
      <c r="K12">
        <f t="shared" si="0"/>
        <v>11</v>
      </c>
      <c r="L12">
        <f t="shared" si="0"/>
        <v>31.25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Задание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dadaya21</dc:creator>
  <cp:lastModifiedBy>dadaya21</cp:lastModifiedBy>
  <dcterms:created xsi:type="dcterms:W3CDTF">2021-09-24T06:56:38Z</dcterms:created>
  <dcterms:modified xsi:type="dcterms:W3CDTF">2021-09-24T08:10:57Z</dcterms:modified>
</cp:coreProperties>
</file>