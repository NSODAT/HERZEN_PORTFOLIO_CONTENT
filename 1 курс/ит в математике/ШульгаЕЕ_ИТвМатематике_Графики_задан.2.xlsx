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daya21\Desktop\"/>
    </mc:Choice>
  </mc:AlternateContent>
  <xr:revisionPtr revIDLastSave="0" documentId="8_{BA252211-08BA-4782-83D7-CE325F4A66EF}" xr6:coauthVersionLast="45" xr6:coauthVersionMax="45" xr10:uidLastSave="{00000000-0000-0000-0000-000000000000}"/>
  <bookViews>
    <workbookView xWindow="-120" yWindow="-120" windowWidth="29040" windowHeight="15840" activeTab="1" xr2:uid="{BBB8C80C-1677-4576-9D3D-5A5CAD7FD5DE}"/>
  </bookViews>
  <sheets>
    <sheet name="Задание 2.1" sheetId="1" r:id="rId1"/>
    <sheet name="Задание 2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" i="2" l="1"/>
  <c r="A13" i="2" s="1"/>
  <c r="A15" i="2"/>
  <c r="A14" i="2"/>
  <c r="A11" i="2"/>
  <c r="A10" i="2"/>
  <c r="E10" i="2" s="1"/>
  <c r="A9" i="2"/>
  <c r="F9" i="2" s="1"/>
  <c r="A8" i="2"/>
  <c r="D8" i="2" s="1"/>
  <c r="A5" i="2"/>
  <c r="G5" i="2" s="1"/>
  <c r="A7" i="2"/>
  <c r="B7" i="2" s="1"/>
  <c r="A6" i="2"/>
  <c r="D6" i="2" s="1"/>
  <c r="H8" i="2"/>
  <c r="C7" i="2"/>
  <c r="C8" i="2"/>
  <c r="E8" i="2"/>
  <c r="F8" i="2"/>
  <c r="G8" i="2"/>
  <c r="K8" i="2"/>
  <c r="D9" i="2"/>
  <c r="E9" i="2"/>
  <c r="B10" i="2"/>
  <c r="H10" i="2"/>
  <c r="J10" i="2"/>
  <c r="L7" i="1"/>
  <c r="C26" i="1"/>
  <c r="D26" i="1"/>
  <c r="E26" i="1"/>
  <c r="F26" i="1"/>
  <c r="G26" i="1"/>
  <c r="H26" i="1"/>
  <c r="B26" i="1"/>
  <c r="I4" i="1"/>
  <c r="I3" i="1"/>
  <c r="AA7" i="1"/>
  <c r="AB7" i="1"/>
  <c r="U7" i="1"/>
  <c r="V7" i="1"/>
  <c r="W7" i="1"/>
  <c r="X7" i="1"/>
  <c r="Y7" i="1"/>
  <c r="Z7" i="1"/>
  <c r="T7" i="1"/>
  <c r="I2" i="1"/>
  <c r="I1" i="1"/>
  <c r="M7" i="1"/>
  <c r="N7" i="1"/>
  <c r="O7" i="1"/>
  <c r="P7" i="1"/>
  <c r="Q7" i="1"/>
  <c r="K7" i="1"/>
  <c r="C5" i="1"/>
  <c r="C7" i="1"/>
  <c r="D7" i="1"/>
  <c r="E7" i="1"/>
  <c r="F7" i="1"/>
  <c r="G7" i="1"/>
  <c r="H7" i="1"/>
  <c r="B7" i="1"/>
  <c r="C10" i="2" l="1"/>
  <c r="F7" i="2"/>
  <c r="A12" i="2"/>
  <c r="F12" i="2" s="1"/>
  <c r="K10" i="2"/>
  <c r="D10" i="2"/>
  <c r="I10" i="2"/>
  <c r="G10" i="2"/>
  <c r="F10" i="2"/>
  <c r="C9" i="2"/>
  <c r="B9" i="2"/>
  <c r="I9" i="2"/>
  <c r="K9" i="2"/>
  <c r="H9" i="2"/>
  <c r="J9" i="2"/>
  <c r="G9" i="2"/>
  <c r="F5" i="2"/>
  <c r="H6" i="2"/>
  <c r="C6" i="2"/>
  <c r="B6" i="2"/>
  <c r="I6" i="2"/>
  <c r="G6" i="2"/>
  <c r="E6" i="2"/>
  <c r="K6" i="2"/>
  <c r="J6" i="2"/>
  <c r="F6" i="2"/>
  <c r="I14" i="2"/>
  <c r="J8" i="2"/>
  <c r="B8" i="2"/>
  <c r="H12" i="2"/>
  <c r="I8" i="2"/>
  <c r="I12" i="2"/>
  <c r="J7" i="2"/>
  <c r="I7" i="2"/>
  <c r="H7" i="2"/>
  <c r="G7" i="2"/>
  <c r="E7" i="2"/>
  <c r="D7" i="2"/>
  <c r="K7" i="2"/>
  <c r="C11" i="2"/>
  <c r="K11" i="2"/>
  <c r="B11" i="2"/>
  <c r="D11" i="2"/>
  <c r="E11" i="2"/>
  <c r="F11" i="2"/>
  <c r="G11" i="2"/>
  <c r="H11" i="2"/>
  <c r="I11" i="2"/>
  <c r="J11" i="2"/>
  <c r="G13" i="2"/>
  <c r="H13" i="2"/>
  <c r="I13" i="2"/>
  <c r="B13" i="2"/>
  <c r="J13" i="2"/>
  <c r="D13" i="2"/>
  <c r="F13" i="2"/>
  <c r="C13" i="2"/>
  <c r="K13" i="2"/>
  <c r="E13" i="2"/>
  <c r="G12" i="2"/>
  <c r="E12" i="2"/>
  <c r="H14" i="2"/>
  <c r="D12" i="2"/>
  <c r="G14" i="2"/>
  <c r="K12" i="2"/>
  <c r="C12" i="2"/>
  <c r="F14" i="2"/>
  <c r="J12" i="2"/>
  <c r="B12" i="2"/>
  <c r="E5" i="2"/>
  <c r="B5" i="2"/>
  <c r="H5" i="2"/>
  <c r="D5" i="2"/>
  <c r="K5" i="2"/>
  <c r="C5" i="2"/>
  <c r="J5" i="2"/>
  <c r="I5" i="2"/>
  <c r="C14" i="2" l="1"/>
  <c r="K14" i="2"/>
  <c r="E14" i="2"/>
  <c r="B14" i="2"/>
  <c r="D14" i="2"/>
  <c r="J14" i="2"/>
  <c r="C15" i="2"/>
  <c r="K15" i="2"/>
  <c r="J15" i="2"/>
  <c r="D15" i="2"/>
  <c r="E15" i="2"/>
  <c r="F15" i="2"/>
  <c r="H15" i="2"/>
  <c r="G15" i="2"/>
  <c r="B15" i="2"/>
  <c r="I15" i="2"/>
</calcChain>
</file>

<file path=xl/sharedStrings.xml><?xml version="1.0" encoding="utf-8"?>
<sst xmlns="http://schemas.openxmlformats.org/spreadsheetml/2006/main" count="25" uniqueCount="16">
  <si>
    <t>Дата рождения:</t>
  </si>
  <si>
    <t>номер дома/кв:</t>
  </si>
  <si>
    <t>номер варианта:</t>
  </si>
  <si>
    <t>порядковый номер</t>
  </si>
  <si>
    <t>x</t>
  </si>
  <si>
    <t>y</t>
  </si>
  <si>
    <t>остат</t>
  </si>
  <si>
    <t>ср.знач</t>
  </si>
  <si>
    <t>Модуль разницы</t>
  </si>
  <si>
    <t>НОД</t>
  </si>
  <si>
    <t>a</t>
  </si>
  <si>
    <t>b</t>
  </si>
  <si>
    <t>возрастание по x влияет на наклон влево</t>
  </si>
  <si>
    <t>возрастание по y влияет на наклон от наблюдателя</t>
  </si>
  <si>
    <t>при увеличении a параболоид все сильнее выравнивается в сторону от наблюдателя</t>
  </si>
  <si>
    <t>при увеличении b параболоид все сильнее выравнивается слева направо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</si>
</sst>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3" borderId="2" xfId="0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3" borderId="2" xfId="0" applyFont="1" applyFill="1" applyBorder="1"/>
    <xf numFmtId="0" fontId="2" fillId="0" borderId="0" xfId="0" applyFont="1" applyAlignment="1"/>
    <xf numFmtId="0" fontId="2" fillId="0" borderId="0" xfId="0" applyNumberFormat="1" applyFont="1" applyAlignment="1"/>
    <xf numFmtId="0" fontId="2" fillId="0" borderId="1" xfId="0" applyFont="1" applyBorder="1" applyAlignment="1">
      <alignment horizontal="center"/>
    </xf>
    <xf numFmtId="0" fontId="0" fillId="4" borderId="2" xfId="0" applyFill="1" applyBorder="1"/>
    <xf numFmtId="0" fontId="0" fillId="0" borderId="2" xfId="0" applyBorder="1"/>
    <xf numFmtId="0" fontId="1" fillId="2" borderId="2" xfId="1" applyBorder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2.1'!$A$7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2.1'!$B$6:$H$6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'Задание 2.1'!$B$7:$H$7</c:f>
              <c:numCache>
                <c:formatCode>General</c:formatCode>
                <c:ptCount val="7"/>
                <c:pt idx="0">
                  <c:v>3.0224663005491763</c:v>
                </c:pt>
                <c:pt idx="1">
                  <c:v>2.0224663005491763</c:v>
                </c:pt>
                <c:pt idx="2">
                  <c:v>1.0224663005491763</c:v>
                </c:pt>
                <c:pt idx="3">
                  <c:v>2.2466300549176237E-2</c:v>
                </c:pt>
                <c:pt idx="4">
                  <c:v>1.0224663005491763</c:v>
                </c:pt>
                <c:pt idx="5">
                  <c:v>2.0224663005491763</c:v>
                </c:pt>
                <c:pt idx="6">
                  <c:v>3.0224663005491763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3-4217-AC68-90759B290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14399"/>
        <c:axId val="81984991"/>
      </c:lineChart>
      <c:catAx>
        <c:axId val="82214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5605570631924086"/>
              <c:y val="0.70536398924695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84991"/>
        <c:crosses val="autoZero"/>
        <c:auto val="1"/>
        <c:lblAlgn val="ctr"/>
        <c:lblOffset val="100"/>
        <c:noMultiLvlLbl val="0"/>
      </c:catAx>
      <c:valAx>
        <c:axId val="8198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306223297232848"/>
              <c:y val="0.18349725952601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21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2.1'!$J$7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2.1'!$K$6:$Q$6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'Задание 2.1'!$K$7:$Q$7</c:f>
              <c:numCache>
                <c:formatCode>General</c:formatCode>
                <c:ptCount val="7"/>
                <c:pt idx="0">
                  <c:v>3568</c:v>
                </c:pt>
                <c:pt idx="1">
                  <c:v>1579</c:v>
                </c:pt>
                <c:pt idx="2">
                  <c:v>390</c:v>
                </c:pt>
                <c:pt idx="3">
                  <c:v>1</c:v>
                </c:pt>
                <c:pt idx="4">
                  <c:v>412</c:v>
                </c:pt>
                <c:pt idx="5">
                  <c:v>1623</c:v>
                </c:pt>
                <c:pt idx="6">
                  <c:v>3634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16-45EC-A1DB-F7BF70691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851279"/>
        <c:axId val="87829135"/>
      </c:lineChart>
      <c:catAx>
        <c:axId val="21078512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95780038195614636"/>
              <c:y val="0.728430266540845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829135"/>
        <c:crosses val="autoZero"/>
        <c:auto val="1"/>
        <c:lblAlgn val="ctr"/>
        <c:lblOffset val="100"/>
        <c:noMultiLvlLbl val="0"/>
      </c:catAx>
      <c:valAx>
        <c:axId val="8782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0.14267185473411154"/>
              <c:y val="0.1143354052370449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tx1"/>
            </a:solidFill>
            <a:tailEnd type="triangle" w="sm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7851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2.1'!$S$7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2.1'!$T$6:$AB$6</c:f>
              <c:numCache>
                <c:formatCode>General</c:formatCode>
                <c:ptCount val="9"/>
                <c:pt idx="0">
                  <c:v>-4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</c:numCache>
            </c:numRef>
          </c:cat>
          <c:val>
            <c:numRef>
              <c:f>'Задание 2.1'!$T$7:$AB$7</c:f>
              <c:numCache>
                <c:formatCode>General</c:formatCode>
                <c:ptCount val="9"/>
                <c:pt idx="0">
                  <c:v>312.33333333333337</c:v>
                </c:pt>
                <c:pt idx="1">
                  <c:v>225</c:v>
                </c:pt>
                <c:pt idx="2">
                  <c:v>100</c:v>
                </c:pt>
                <c:pt idx="3">
                  <c:v>25</c:v>
                </c:pt>
                <c:pt idx="4">
                  <c:v>0</c:v>
                </c:pt>
                <c:pt idx="5">
                  <c:v>25</c:v>
                </c:pt>
                <c:pt idx="6">
                  <c:v>100</c:v>
                </c:pt>
                <c:pt idx="7">
                  <c:v>225</c:v>
                </c:pt>
                <c:pt idx="8">
                  <c:v>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93-48DC-8628-B83AEF1D1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645167"/>
        <c:axId val="2096976655"/>
      </c:lineChart>
      <c:catAx>
        <c:axId val="2107645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6976655"/>
        <c:crosses val="autoZero"/>
        <c:auto val="1"/>
        <c:lblAlgn val="ctr"/>
        <c:lblOffset val="100"/>
        <c:noMultiLvlLbl val="0"/>
      </c:catAx>
      <c:valAx>
        <c:axId val="209697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tx1"/>
            </a:solidFill>
            <a:tailEnd type="triangle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764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'Задание 2.1'!$A$26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'Задание 2.1'!$B$25:$H$25</c:f>
              <c:numCache>
                <c:formatCode>General</c:formatCode>
                <c:ptCount val="7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</c:numCache>
            </c:numRef>
          </c:cat>
          <c:val>
            <c:numRef>
              <c:f>'Задание 2.1'!$B$26:$H$26</c:f>
              <c:numCache>
                <c:formatCode>General</c:formatCode>
                <c:ptCount val="7"/>
                <c:pt idx="0">
                  <c:v>1.881285396591575</c:v>
                </c:pt>
                <c:pt idx="1">
                  <c:v>1.881285396591575</c:v>
                </c:pt>
                <c:pt idx="2">
                  <c:v>1.881285396591575</c:v>
                </c:pt>
                <c:pt idx="3">
                  <c:v>1.881285396591575</c:v>
                </c:pt>
                <c:pt idx="4">
                  <c:v>1.881285396591575</c:v>
                </c:pt>
                <c:pt idx="5">
                  <c:v>1.881285396591575</c:v>
                </c:pt>
                <c:pt idx="6">
                  <c:v>1.881285396591575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49-40AB-9359-3053A346B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503103"/>
        <c:axId val="118606735"/>
      </c:lineChart>
      <c:catAx>
        <c:axId val="12350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8606735"/>
        <c:crosses val="autoZero"/>
        <c:auto val="1"/>
        <c:lblAlgn val="ctr"/>
        <c:lblOffset val="100"/>
        <c:noMultiLvlLbl val="0"/>
      </c:catAx>
      <c:valAx>
        <c:axId val="11860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50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Эллиптический</a:t>
            </a:r>
            <a:r>
              <a:rPr lang="ru-RU" baseline="0"/>
              <a:t> параболоид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'Задание 2.2'!$B$4</c:f>
              <c:strCache>
                <c:ptCount val="1"/>
                <c:pt idx="0">
                  <c:v>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2.2'!$B$5:$B$15</c:f>
              <c:numCache>
                <c:formatCode>General</c:formatCode>
                <c:ptCount val="11"/>
                <c:pt idx="0">
                  <c:v>66.64</c:v>
                </c:pt>
                <c:pt idx="1">
                  <c:v>59.24</c:v>
                </c:pt>
                <c:pt idx="2">
                  <c:v>53.84</c:v>
                </c:pt>
                <c:pt idx="3">
                  <c:v>50.44</c:v>
                </c:pt>
                <c:pt idx="4">
                  <c:v>49.04</c:v>
                </c:pt>
                <c:pt idx="5">
                  <c:v>49.64</c:v>
                </c:pt>
                <c:pt idx="6">
                  <c:v>52.24</c:v>
                </c:pt>
                <c:pt idx="7">
                  <c:v>56.839999999999996</c:v>
                </c:pt>
                <c:pt idx="8">
                  <c:v>63.44</c:v>
                </c:pt>
                <c:pt idx="9">
                  <c:v>72.039999999999992</c:v>
                </c:pt>
                <c:pt idx="10">
                  <c:v>82.64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45-44AF-BC10-50F599A25AFA}"/>
            </c:ext>
          </c:extLst>
        </c:ser>
        <c:ser>
          <c:idx val="1"/>
          <c:order val="1"/>
          <c:tx>
            <c:strRef>
              <c:f>'Задание 2.2'!$C$4</c:f>
              <c:strCache>
                <c:ptCount val="1"/>
                <c:pt idx="0">
                  <c:v>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2.2'!$C$5:$C$15</c:f>
              <c:numCache>
                <c:formatCode>General</c:formatCode>
                <c:ptCount val="11"/>
                <c:pt idx="0">
                  <c:v>81.64</c:v>
                </c:pt>
                <c:pt idx="1">
                  <c:v>74.240000000000009</c:v>
                </c:pt>
                <c:pt idx="2">
                  <c:v>68.84</c:v>
                </c:pt>
                <c:pt idx="3">
                  <c:v>65.44</c:v>
                </c:pt>
                <c:pt idx="4">
                  <c:v>64.040000000000006</c:v>
                </c:pt>
                <c:pt idx="5">
                  <c:v>64.64</c:v>
                </c:pt>
                <c:pt idx="6">
                  <c:v>67.239999999999995</c:v>
                </c:pt>
                <c:pt idx="7">
                  <c:v>71.84</c:v>
                </c:pt>
                <c:pt idx="8">
                  <c:v>78.44</c:v>
                </c:pt>
                <c:pt idx="9">
                  <c:v>87.039999999999992</c:v>
                </c:pt>
                <c:pt idx="10">
                  <c:v>97.64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45-44AF-BC10-50F599A25AFA}"/>
            </c:ext>
          </c:extLst>
        </c:ser>
        <c:ser>
          <c:idx val="2"/>
          <c:order val="2"/>
          <c:tx>
            <c:strRef>
              <c:f>'Задание 2.2'!$D$4</c:f>
              <c:strCache>
                <c:ptCount val="1"/>
                <c:pt idx="0">
                  <c:v>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2.2'!$D$5:$D$15</c:f>
              <c:numCache>
                <c:formatCode>General</c:formatCode>
                <c:ptCount val="11"/>
                <c:pt idx="0">
                  <c:v>98.64</c:v>
                </c:pt>
                <c:pt idx="1">
                  <c:v>91.240000000000009</c:v>
                </c:pt>
                <c:pt idx="2">
                  <c:v>85.84</c:v>
                </c:pt>
                <c:pt idx="3">
                  <c:v>82.44</c:v>
                </c:pt>
                <c:pt idx="4">
                  <c:v>81.040000000000006</c:v>
                </c:pt>
                <c:pt idx="5">
                  <c:v>81.64</c:v>
                </c:pt>
                <c:pt idx="6">
                  <c:v>84.24</c:v>
                </c:pt>
                <c:pt idx="7">
                  <c:v>88.84</c:v>
                </c:pt>
                <c:pt idx="8">
                  <c:v>95.44</c:v>
                </c:pt>
                <c:pt idx="9">
                  <c:v>104.03999999999999</c:v>
                </c:pt>
                <c:pt idx="10">
                  <c:v>114.64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45-44AF-BC10-50F599A25AFA}"/>
            </c:ext>
          </c:extLst>
        </c:ser>
        <c:ser>
          <c:idx val="3"/>
          <c:order val="3"/>
          <c:tx>
            <c:strRef>
              <c:f>'Задание 2.2'!$E$4</c:f>
              <c:strCache>
                <c:ptCount val="1"/>
                <c:pt idx="0">
                  <c:v>10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2.2'!$E$5:$E$15</c:f>
              <c:numCache>
                <c:formatCode>General</c:formatCode>
                <c:ptCount val="11"/>
                <c:pt idx="0">
                  <c:v>117.64</c:v>
                </c:pt>
                <c:pt idx="1">
                  <c:v>110.24000000000001</c:v>
                </c:pt>
                <c:pt idx="2">
                  <c:v>104.84</c:v>
                </c:pt>
                <c:pt idx="3">
                  <c:v>101.44</c:v>
                </c:pt>
                <c:pt idx="4">
                  <c:v>100.04</c:v>
                </c:pt>
                <c:pt idx="5">
                  <c:v>100.64</c:v>
                </c:pt>
                <c:pt idx="6">
                  <c:v>103.24</c:v>
                </c:pt>
                <c:pt idx="7">
                  <c:v>107.84</c:v>
                </c:pt>
                <c:pt idx="8">
                  <c:v>114.44</c:v>
                </c:pt>
                <c:pt idx="9">
                  <c:v>123.03999999999999</c:v>
                </c:pt>
                <c:pt idx="10">
                  <c:v>133.63999999999999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D45-44AF-BC10-50F599A25AFA}"/>
            </c:ext>
          </c:extLst>
        </c:ser>
        <c:ser>
          <c:idx val="4"/>
          <c:order val="4"/>
          <c:tx>
            <c:strRef>
              <c:f>'Задание 2.2'!$F$4</c:f>
              <c:strCache>
                <c:ptCount val="1"/>
                <c:pt idx="0">
                  <c:v>11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2.2'!$F$5:$F$15</c:f>
              <c:numCache>
                <c:formatCode>General</c:formatCode>
                <c:ptCount val="11"/>
                <c:pt idx="0">
                  <c:v>138.63999999999999</c:v>
                </c:pt>
                <c:pt idx="1">
                  <c:v>131.24</c:v>
                </c:pt>
                <c:pt idx="2">
                  <c:v>125.84</c:v>
                </c:pt>
                <c:pt idx="3">
                  <c:v>122.44</c:v>
                </c:pt>
                <c:pt idx="4">
                  <c:v>121.04</c:v>
                </c:pt>
                <c:pt idx="5">
                  <c:v>121.64</c:v>
                </c:pt>
                <c:pt idx="6">
                  <c:v>124.24</c:v>
                </c:pt>
                <c:pt idx="7">
                  <c:v>128.84</c:v>
                </c:pt>
                <c:pt idx="8">
                  <c:v>135.44</c:v>
                </c:pt>
                <c:pt idx="9">
                  <c:v>144.04</c:v>
                </c:pt>
                <c:pt idx="10">
                  <c:v>154.63999999999999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D45-44AF-BC10-50F599A25AFA}"/>
            </c:ext>
          </c:extLst>
        </c:ser>
        <c:ser>
          <c:idx val="5"/>
          <c:order val="5"/>
          <c:tx>
            <c:strRef>
              <c:f>'Задание 2.2'!$G$4</c:f>
              <c:strCache>
                <c:ptCount val="1"/>
                <c:pt idx="0">
                  <c:v>12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2.2'!$G$5:$G$15</c:f>
              <c:numCache>
                <c:formatCode>General</c:formatCode>
                <c:ptCount val="11"/>
                <c:pt idx="0">
                  <c:v>161.63999999999999</c:v>
                </c:pt>
                <c:pt idx="1">
                  <c:v>154.24</c:v>
                </c:pt>
                <c:pt idx="2">
                  <c:v>148.84</c:v>
                </c:pt>
                <c:pt idx="3">
                  <c:v>145.44</c:v>
                </c:pt>
                <c:pt idx="4">
                  <c:v>144.04</c:v>
                </c:pt>
                <c:pt idx="5">
                  <c:v>144.63999999999999</c:v>
                </c:pt>
                <c:pt idx="6">
                  <c:v>147.24</c:v>
                </c:pt>
                <c:pt idx="7">
                  <c:v>151.84</c:v>
                </c:pt>
                <c:pt idx="8">
                  <c:v>158.44</c:v>
                </c:pt>
                <c:pt idx="9">
                  <c:v>167.04</c:v>
                </c:pt>
                <c:pt idx="10">
                  <c:v>177.64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D45-44AF-BC10-50F599A25AFA}"/>
            </c:ext>
          </c:extLst>
        </c:ser>
        <c:ser>
          <c:idx val="6"/>
          <c:order val="6"/>
          <c:tx>
            <c:strRef>
              <c:f>'Задание 2.2'!$H$4</c:f>
              <c:strCache>
                <c:ptCount val="1"/>
                <c:pt idx="0">
                  <c:v>13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2.2'!$H$5:$H$15</c:f>
              <c:numCache>
                <c:formatCode>General</c:formatCode>
                <c:ptCount val="11"/>
                <c:pt idx="0">
                  <c:v>186.64</c:v>
                </c:pt>
                <c:pt idx="1">
                  <c:v>179.24</c:v>
                </c:pt>
                <c:pt idx="2">
                  <c:v>173.84</c:v>
                </c:pt>
                <c:pt idx="3">
                  <c:v>170.44</c:v>
                </c:pt>
                <c:pt idx="4">
                  <c:v>169.04</c:v>
                </c:pt>
                <c:pt idx="5">
                  <c:v>169.64</c:v>
                </c:pt>
                <c:pt idx="6">
                  <c:v>172.24</c:v>
                </c:pt>
                <c:pt idx="7">
                  <c:v>176.84</c:v>
                </c:pt>
                <c:pt idx="8">
                  <c:v>183.44</c:v>
                </c:pt>
                <c:pt idx="9">
                  <c:v>192.04</c:v>
                </c:pt>
                <c:pt idx="10">
                  <c:v>202.64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D45-44AF-BC10-50F599A25AFA}"/>
            </c:ext>
          </c:extLst>
        </c:ser>
        <c:ser>
          <c:idx val="7"/>
          <c:order val="7"/>
          <c:tx>
            <c:strRef>
              <c:f>'Задание 2.2'!$I$4</c:f>
              <c:strCache>
                <c:ptCount val="1"/>
                <c:pt idx="0">
                  <c:v>14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2.2'!$I$5:$I$15</c:f>
              <c:numCache>
                <c:formatCode>General</c:formatCode>
                <c:ptCount val="11"/>
                <c:pt idx="0">
                  <c:v>213.64</c:v>
                </c:pt>
                <c:pt idx="1">
                  <c:v>206.24</c:v>
                </c:pt>
                <c:pt idx="2">
                  <c:v>200.84</c:v>
                </c:pt>
                <c:pt idx="3">
                  <c:v>197.44</c:v>
                </c:pt>
                <c:pt idx="4">
                  <c:v>196.04</c:v>
                </c:pt>
                <c:pt idx="5">
                  <c:v>196.64</c:v>
                </c:pt>
                <c:pt idx="6">
                  <c:v>199.24</c:v>
                </c:pt>
                <c:pt idx="7">
                  <c:v>203.84</c:v>
                </c:pt>
                <c:pt idx="8">
                  <c:v>210.44</c:v>
                </c:pt>
                <c:pt idx="9">
                  <c:v>219.04</c:v>
                </c:pt>
                <c:pt idx="10">
                  <c:v>229.64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D45-44AF-BC10-50F599A25AFA}"/>
            </c:ext>
          </c:extLst>
        </c:ser>
        <c:ser>
          <c:idx val="8"/>
          <c:order val="8"/>
          <c:tx>
            <c:strRef>
              <c:f>'Задание 2.2'!$J$4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2.2'!$J$5:$J$15</c:f>
              <c:numCache>
                <c:formatCode>General</c:formatCode>
                <c:ptCount val="11"/>
                <c:pt idx="0">
                  <c:v>242.64</c:v>
                </c:pt>
                <c:pt idx="1">
                  <c:v>235.24</c:v>
                </c:pt>
                <c:pt idx="2">
                  <c:v>229.84</c:v>
                </c:pt>
                <c:pt idx="3">
                  <c:v>226.44</c:v>
                </c:pt>
                <c:pt idx="4">
                  <c:v>225.04</c:v>
                </c:pt>
                <c:pt idx="5">
                  <c:v>225.64</c:v>
                </c:pt>
                <c:pt idx="6">
                  <c:v>228.24</c:v>
                </c:pt>
                <c:pt idx="7">
                  <c:v>232.84</c:v>
                </c:pt>
                <c:pt idx="8">
                  <c:v>239.44</c:v>
                </c:pt>
                <c:pt idx="9">
                  <c:v>248.04</c:v>
                </c:pt>
                <c:pt idx="10">
                  <c:v>258.64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D45-44AF-BC10-50F599A25AFA}"/>
            </c:ext>
          </c:extLst>
        </c:ser>
        <c:ser>
          <c:idx val="9"/>
          <c:order val="9"/>
          <c:tx>
            <c:strRef>
              <c:f>'Задание 2.2'!$K$4</c:f>
              <c:strCache>
                <c:ptCount val="1"/>
                <c:pt idx="0">
                  <c:v>16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'Задание 2.2'!$A$5:$A$15</c:f>
              <c:numCache>
                <c:formatCode>General</c:formatCode>
                <c:ptCount val="11"/>
                <c:pt idx="0">
                  <c:v>-4.2</c:v>
                </c:pt>
                <c:pt idx="1">
                  <c:v>-3.2</c:v>
                </c:pt>
                <c:pt idx="2">
                  <c:v>-2.2000000000000002</c:v>
                </c:pt>
                <c:pt idx="3">
                  <c:v>-1.2000000000000002</c:v>
                </c:pt>
                <c:pt idx="4">
                  <c:v>-0.20000000000000018</c:v>
                </c:pt>
                <c:pt idx="5">
                  <c:v>0.79999999999999982</c:v>
                </c:pt>
                <c:pt idx="6">
                  <c:v>1.7999999999999998</c:v>
                </c:pt>
                <c:pt idx="7">
                  <c:v>2.8</c:v>
                </c:pt>
                <c:pt idx="8">
                  <c:v>3.8</c:v>
                </c:pt>
                <c:pt idx="9">
                  <c:v>4.8</c:v>
                </c:pt>
                <c:pt idx="10">
                  <c:v>5.8</c:v>
                </c:pt>
              </c:numCache>
            </c:numRef>
          </c:cat>
          <c:val>
            <c:numRef>
              <c:f>'Задание 2.2'!$K$5:$K$15</c:f>
              <c:numCache>
                <c:formatCode>General</c:formatCode>
                <c:ptCount val="11"/>
                <c:pt idx="0">
                  <c:v>273.64</c:v>
                </c:pt>
                <c:pt idx="1">
                  <c:v>266.24</c:v>
                </c:pt>
                <c:pt idx="2">
                  <c:v>260.83999999999997</c:v>
                </c:pt>
                <c:pt idx="3">
                  <c:v>257.44</c:v>
                </c:pt>
                <c:pt idx="4">
                  <c:v>256.04000000000002</c:v>
                </c:pt>
                <c:pt idx="5">
                  <c:v>256.64</c:v>
                </c:pt>
                <c:pt idx="6">
                  <c:v>259.24</c:v>
                </c:pt>
                <c:pt idx="7">
                  <c:v>263.83999999999997</c:v>
                </c:pt>
                <c:pt idx="8">
                  <c:v>270.44</c:v>
                </c:pt>
                <c:pt idx="9">
                  <c:v>279.04000000000002</c:v>
                </c:pt>
                <c:pt idx="10">
                  <c:v>289.64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D45-44AF-BC10-50F599A25AFA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84209007"/>
        <c:axId val="81926783"/>
        <c:axId val="91604575"/>
      </c:surface3DChart>
      <c:catAx>
        <c:axId val="84209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26783"/>
        <c:crosses val="autoZero"/>
        <c:auto val="1"/>
        <c:lblAlgn val="ctr"/>
        <c:lblOffset val="100"/>
        <c:noMultiLvlLbl val="0"/>
      </c:catAx>
      <c:valAx>
        <c:axId val="8192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4209007"/>
        <c:crosses val="autoZero"/>
        <c:crossBetween val="midCat"/>
      </c:valAx>
      <c:serAx>
        <c:axId val="91604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192678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14287</xdr:rowOff>
    </xdr:from>
    <xdr:to>
      <xdr:col>7</xdr:col>
      <xdr:colOff>600074</xdr:colOff>
      <xdr:row>23</xdr:row>
      <xdr:rowOff>28575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315BF5A-4250-4ADA-9D19-3E538C388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7</xdr:row>
      <xdr:rowOff>176211</xdr:rowOff>
    </xdr:from>
    <xdr:to>
      <xdr:col>17</xdr:col>
      <xdr:colOff>9525</xdr:colOff>
      <xdr:row>22</xdr:row>
      <xdr:rowOff>180974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7CA11AA-85FB-4652-816A-C6185C155D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4142</xdr:colOff>
      <xdr:row>7</xdr:row>
      <xdr:rowOff>185532</xdr:rowOff>
    </xdr:from>
    <xdr:to>
      <xdr:col>28</xdr:col>
      <xdr:colOff>8283</xdr:colOff>
      <xdr:row>22</xdr:row>
      <xdr:rowOff>182218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2FD354E5-E855-48A2-B869-B244171EC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23532</xdr:rowOff>
    </xdr:from>
    <xdr:to>
      <xdr:col>8</xdr:col>
      <xdr:colOff>11206</xdr:colOff>
      <xdr:row>41</xdr:row>
      <xdr:rowOff>11206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90269095-ED94-4558-B5F0-268C87BBD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4761</xdr:rowOff>
    </xdr:from>
    <xdr:to>
      <xdr:col>10</xdr:col>
      <xdr:colOff>600074</xdr:colOff>
      <xdr:row>30</xdr:row>
      <xdr:rowOff>180974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194D77D-3818-4B11-9E93-84189F208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8E5CC-8511-44F3-AFD1-27680DBCE9F8}">
  <dimension ref="A1:AB26"/>
  <sheetViews>
    <sheetView topLeftCell="A4" zoomScale="85" zoomScaleNormal="85" workbookViewId="0">
      <selection activeCell="L7" sqref="L7"/>
    </sheetView>
  </sheetViews>
  <sheetFormatPr defaultRowHeight="15" x14ac:dyDescent="0.25"/>
  <cols>
    <col min="3" max="4" width="11.28515625" bestFit="1" customWidth="1"/>
  </cols>
  <sheetData>
    <row r="1" spans="1:28" ht="15.75" x14ac:dyDescent="0.25">
      <c r="A1" s="3" t="s">
        <v>0</v>
      </c>
      <c r="B1" s="3"/>
      <c r="C1" s="7">
        <v>20</v>
      </c>
      <c r="D1" s="7">
        <v>11</v>
      </c>
      <c r="E1" s="4">
        <v>2003</v>
      </c>
      <c r="F1" s="4"/>
      <c r="G1" s="3" t="s">
        <v>7</v>
      </c>
      <c r="H1" s="3"/>
      <c r="I1" s="1">
        <f>AVERAGE(C1,D1,C3)</f>
        <v>25.333333333333332</v>
      </c>
      <c r="J1" s="1"/>
    </row>
    <row r="2" spans="1:28" ht="15.75" x14ac:dyDescent="0.25">
      <c r="A2" s="3" t="s">
        <v>1</v>
      </c>
      <c r="B2" s="3"/>
      <c r="C2" s="6">
        <v>13</v>
      </c>
      <c r="D2" s="6">
        <v>15</v>
      </c>
      <c r="E2" s="4"/>
      <c r="F2" s="4"/>
      <c r="G2" s="3" t="s">
        <v>7</v>
      </c>
      <c r="H2" s="3"/>
      <c r="I2" s="1">
        <f>AVERAGE(C2,D2,C4)</f>
        <v>13.666666666666666</v>
      </c>
      <c r="J2" s="1"/>
    </row>
    <row r="3" spans="1:28" ht="15.75" x14ac:dyDescent="0.25">
      <c r="A3" s="3" t="s">
        <v>2</v>
      </c>
      <c r="B3" s="3"/>
      <c r="C3" s="6">
        <v>45</v>
      </c>
      <c r="D3" s="6"/>
      <c r="E3" s="4"/>
      <c r="F3" s="4"/>
      <c r="G3" s="1" t="s">
        <v>8</v>
      </c>
      <c r="H3" s="1"/>
      <c r="I3" s="1">
        <f>ABS((15-20))+3</f>
        <v>8</v>
      </c>
      <c r="J3" s="1"/>
    </row>
    <row r="4" spans="1:28" ht="15.75" x14ac:dyDescent="0.25">
      <c r="A4" s="4" t="s">
        <v>3</v>
      </c>
      <c r="B4" s="4"/>
      <c r="C4" s="6">
        <v>13</v>
      </c>
      <c r="D4" s="6"/>
      <c r="E4" s="4"/>
      <c r="F4" s="4"/>
      <c r="G4" s="1" t="s">
        <v>9</v>
      </c>
      <c r="H4" s="1"/>
      <c r="I4" s="1">
        <f>GCD(C1,D2)+C3</f>
        <v>50</v>
      </c>
      <c r="J4" s="1"/>
    </row>
    <row r="5" spans="1:28" ht="15.75" x14ac:dyDescent="0.25">
      <c r="A5" s="8" t="s">
        <v>6</v>
      </c>
      <c r="B5" s="8"/>
      <c r="C5" s="4">
        <f>MOD(E1,C4)</f>
        <v>1</v>
      </c>
      <c r="D5" s="4"/>
      <c r="E5" s="4"/>
      <c r="F5" s="4"/>
      <c r="G5" s="4"/>
      <c r="H5" s="4"/>
    </row>
    <row r="6" spans="1:28" ht="15.75" x14ac:dyDescent="0.25">
      <c r="A6" s="5" t="s">
        <v>4</v>
      </c>
      <c r="B6" s="5">
        <v>-3</v>
      </c>
      <c r="C6" s="5">
        <v>-2</v>
      </c>
      <c r="D6" s="5">
        <v>-1</v>
      </c>
      <c r="E6" s="5">
        <v>0</v>
      </c>
      <c r="F6" s="5">
        <v>1</v>
      </c>
      <c r="G6" s="5">
        <v>2</v>
      </c>
      <c r="H6" s="5">
        <v>3</v>
      </c>
      <c r="J6" s="5" t="s">
        <v>4</v>
      </c>
      <c r="K6" s="5">
        <v>-3</v>
      </c>
      <c r="L6" s="5">
        <v>-2</v>
      </c>
      <c r="M6" s="5">
        <v>-1</v>
      </c>
      <c r="N6" s="5">
        <v>0</v>
      </c>
      <c r="O6" s="5">
        <v>1</v>
      </c>
      <c r="P6" s="5">
        <v>2</v>
      </c>
      <c r="Q6" s="5">
        <v>3</v>
      </c>
      <c r="S6" s="5" t="s">
        <v>4</v>
      </c>
      <c r="T6" s="5">
        <v>-4</v>
      </c>
      <c r="U6" s="5">
        <v>-3</v>
      </c>
      <c r="V6" s="5">
        <v>-2</v>
      </c>
      <c r="W6" s="5">
        <v>-1</v>
      </c>
      <c r="X6" s="5">
        <v>0</v>
      </c>
      <c r="Y6" s="5">
        <v>1</v>
      </c>
      <c r="Z6" s="5">
        <v>2</v>
      </c>
      <c r="AA6" s="5">
        <v>3</v>
      </c>
      <c r="AB6" s="5">
        <v>4</v>
      </c>
    </row>
    <row r="7" spans="1:28" ht="15.75" x14ac:dyDescent="0.25">
      <c r="A7" s="5" t="s">
        <v>5</v>
      </c>
      <c r="B7" s="5">
        <f>ABS($C3/$E1+ABS(B6))</f>
        <v>3.0224663005491763</v>
      </c>
      <c r="C7" s="5">
        <f t="shared" ref="C7:H7" si="0">ABS($C3/$E1+ABS(C6))</f>
        <v>2.0224663005491763</v>
      </c>
      <c r="D7" s="5">
        <f t="shared" si="0"/>
        <v>1.0224663005491763</v>
      </c>
      <c r="E7" s="5">
        <f t="shared" si="0"/>
        <v>2.2466300549176237E-2</v>
      </c>
      <c r="F7" s="5">
        <f t="shared" si="0"/>
        <v>1.0224663005491763</v>
      </c>
      <c r="G7" s="5">
        <f t="shared" si="0"/>
        <v>2.0224663005491763</v>
      </c>
      <c r="H7" s="5">
        <f t="shared" si="0"/>
        <v>3.0224663005491763</v>
      </c>
      <c r="J7" s="5" t="s">
        <v>5</v>
      </c>
      <c r="K7" s="2">
        <f>POWER($C1* K6,2)+$D1*K6+$C5</f>
        <v>3568</v>
      </c>
      <c r="L7" s="2">
        <f>POWER($C1* L6,2)+$D1*L6+$C5</f>
        <v>1579</v>
      </c>
      <c r="M7" s="2">
        <f t="shared" ref="L7:Q7" si="1">POWER($C1* M6,2)+$D1*M6+$C5</f>
        <v>390</v>
      </c>
      <c r="N7" s="2">
        <f t="shared" si="1"/>
        <v>1</v>
      </c>
      <c r="O7" s="2">
        <f t="shared" si="1"/>
        <v>412</v>
      </c>
      <c r="P7" s="2">
        <f t="shared" si="1"/>
        <v>1623</v>
      </c>
      <c r="Q7" s="2">
        <f t="shared" si="1"/>
        <v>3634</v>
      </c>
      <c r="S7" s="5" t="s">
        <v>5</v>
      </c>
      <c r="T7" s="2">
        <f>ABS(POWER(-5*T6,2)+I1*T6+I2)</f>
        <v>312.33333333333337</v>
      </c>
      <c r="U7" s="2">
        <f t="shared" ref="U7:Z7" si="2">ABS(POWER(-5*U6,2)+J1*U6+J2)</f>
        <v>225</v>
      </c>
      <c r="V7" s="2">
        <f t="shared" si="2"/>
        <v>100</v>
      </c>
      <c r="W7" s="2">
        <f t="shared" si="2"/>
        <v>25</v>
      </c>
      <c r="X7" s="2">
        <f t="shared" si="2"/>
        <v>0</v>
      </c>
      <c r="Y7" s="2">
        <f t="shared" si="2"/>
        <v>25</v>
      </c>
      <c r="Z7" s="2">
        <f t="shared" si="2"/>
        <v>100</v>
      </c>
      <c r="AA7" s="2">
        <f t="shared" ref="AA7" si="3">ABS(POWER(-5*AA6,2)+P1*AA6+P2)</f>
        <v>225</v>
      </c>
      <c r="AB7" s="2">
        <f t="shared" ref="AB7" si="4">ABS(POWER(-5*AB6,2)+Q1*AB6+Q2)</f>
        <v>400</v>
      </c>
    </row>
    <row r="25" spans="1:8" ht="15.75" x14ac:dyDescent="0.25">
      <c r="A25" s="5" t="s">
        <v>4</v>
      </c>
      <c r="B25" s="5">
        <v>-3</v>
      </c>
      <c r="C25" s="5">
        <v>-2</v>
      </c>
      <c r="D25" s="5">
        <v>-1</v>
      </c>
      <c r="E25" s="5">
        <v>0</v>
      </c>
      <c r="F25" s="5">
        <v>1</v>
      </c>
      <c r="G25" s="5">
        <v>2</v>
      </c>
      <c r="H25" s="5">
        <v>3</v>
      </c>
    </row>
    <row r="26" spans="1:8" ht="15.75" x14ac:dyDescent="0.25">
      <c r="A26" s="5" t="s">
        <v>5</v>
      </c>
      <c r="B26" s="5">
        <f>LOG($I4,$I3)</f>
        <v>1.881285396591575</v>
      </c>
      <c r="C26" s="5">
        <f t="shared" ref="C26:H26" si="5">LOG($I4,$I3)</f>
        <v>1.881285396591575</v>
      </c>
      <c r="D26" s="5">
        <f t="shared" si="5"/>
        <v>1.881285396591575</v>
      </c>
      <c r="E26" s="5">
        <f t="shared" si="5"/>
        <v>1.881285396591575</v>
      </c>
      <c r="F26" s="5">
        <f t="shared" si="5"/>
        <v>1.881285396591575</v>
      </c>
      <c r="G26" s="5">
        <f t="shared" si="5"/>
        <v>1.881285396591575</v>
      </c>
      <c r="H26" s="5">
        <f t="shared" si="5"/>
        <v>1.881285396591575</v>
      </c>
    </row>
  </sheetData>
  <mergeCells count="12">
    <mergeCell ref="A5:B5"/>
    <mergeCell ref="G1:H1"/>
    <mergeCell ref="I1:J1"/>
    <mergeCell ref="G2:H2"/>
    <mergeCell ref="I2:J2"/>
    <mergeCell ref="I3:J3"/>
    <mergeCell ref="I4:J4"/>
    <mergeCell ref="G3:H3"/>
    <mergeCell ref="G4:H4"/>
    <mergeCell ref="A1:B1"/>
    <mergeCell ref="A2:B2"/>
    <mergeCell ref="A3:B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41DD-2872-4A5B-9625-D929E8693CA4}">
  <dimension ref="A1:K36"/>
  <sheetViews>
    <sheetView tabSelected="1" workbookViewId="0">
      <selection activeCell="P20" sqref="P20"/>
    </sheetView>
  </sheetViews>
  <sheetFormatPr defaultRowHeight="15" x14ac:dyDescent="0.25"/>
  <sheetData>
    <row r="1" spans="1:11" x14ac:dyDescent="0.25">
      <c r="A1" s="2" t="s">
        <v>4</v>
      </c>
      <c r="B1" s="10">
        <f>-4.2</f>
        <v>-4.2</v>
      </c>
      <c r="D1" s="11" t="s">
        <v>10</v>
      </c>
      <c r="E1" s="10">
        <v>1</v>
      </c>
    </row>
    <row r="2" spans="1:11" x14ac:dyDescent="0.25">
      <c r="A2" s="9" t="s">
        <v>5</v>
      </c>
      <c r="B2" s="10">
        <v>7</v>
      </c>
      <c r="D2" s="11" t="s">
        <v>11</v>
      </c>
      <c r="E2" s="10">
        <v>1</v>
      </c>
    </row>
    <row r="4" spans="1:11" x14ac:dyDescent="0.25">
      <c r="B4" s="9">
        <v>7</v>
      </c>
      <c r="C4" s="9">
        <v>8</v>
      </c>
      <c r="D4" s="9">
        <v>9</v>
      </c>
      <c r="E4" s="9">
        <v>10</v>
      </c>
      <c r="F4" s="9">
        <v>11</v>
      </c>
      <c r="G4" s="9">
        <v>12</v>
      </c>
      <c r="H4" s="9">
        <v>13</v>
      </c>
      <c r="I4" s="9">
        <v>14</v>
      </c>
      <c r="J4" s="9">
        <v>15</v>
      </c>
      <c r="K4" s="9">
        <v>16</v>
      </c>
    </row>
    <row r="5" spans="1:11" x14ac:dyDescent="0.25">
      <c r="A5" s="2">
        <f>$B$1+0</f>
        <v>-4.2</v>
      </c>
      <c r="B5">
        <f>($A5^2/$E$1^2)+(B$4^2/$E$2)</f>
        <v>66.64</v>
      </c>
      <c r="C5">
        <f t="shared" ref="C5:K15" si="0">($A5^2/$E$1^2)+(C$4^2/$E$2)</f>
        <v>81.64</v>
      </c>
      <c r="D5">
        <f t="shared" si="0"/>
        <v>98.64</v>
      </c>
      <c r="E5">
        <f t="shared" si="0"/>
        <v>117.64</v>
      </c>
      <c r="F5">
        <f t="shared" si="0"/>
        <v>138.63999999999999</v>
      </c>
      <c r="G5">
        <f t="shared" si="0"/>
        <v>161.63999999999999</v>
      </c>
      <c r="H5">
        <f t="shared" si="0"/>
        <v>186.64</v>
      </c>
      <c r="I5">
        <f t="shared" si="0"/>
        <v>213.64</v>
      </c>
      <c r="J5">
        <f t="shared" si="0"/>
        <v>242.64</v>
      </c>
      <c r="K5">
        <f t="shared" si="0"/>
        <v>273.64</v>
      </c>
    </row>
    <row r="6" spans="1:11" x14ac:dyDescent="0.25">
      <c r="A6" s="2">
        <f>$B$1+1</f>
        <v>-3.2</v>
      </c>
      <c r="B6">
        <f t="shared" ref="B6:B15" si="1">($A6^2/$E$1^2)+(B$4^2/$E$2)</f>
        <v>59.24</v>
      </c>
      <c r="C6">
        <f t="shared" si="0"/>
        <v>74.240000000000009</v>
      </c>
      <c r="D6">
        <f t="shared" si="0"/>
        <v>91.240000000000009</v>
      </c>
      <c r="E6">
        <f t="shared" si="0"/>
        <v>110.24000000000001</v>
      </c>
      <c r="F6">
        <f t="shared" si="0"/>
        <v>131.24</v>
      </c>
      <c r="G6">
        <f t="shared" si="0"/>
        <v>154.24</v>
      </c>
      <c r="H6">
        <f t="shared" si="0"/>
        <v>179.24</v>
      </c>
      <c r="I6">
        <f t="shared" si="0"/>
        <v>206.24</v>
      </c>
      <c r="J6">
        <f t="shared" si="0"/>
        <v>235.24</v>
      </c>
      <c r="K6">
        <f t="shared" si="0"/>
        <v>266.24</v>
      </c>
    </row>
    <row r="7" spans="1:11" x14ac:dyDescent="0.25">
      <c r="A7" s="2">
        <f>$B$1+2</f>
        <v>-2.2000000000000002</v>
      </c>
      <c r="B7">
        <f t="shared" si="1"/>
        <v>53.84</v>
      </c>
      <c r="C7">
        <f t="shared" si="0"/>
        <v>68.84</v>
      </c>
      <c r="D7">
        <f t="shared" si="0"/>
        <v>85.84</v>
      </c>
      <c r="E7">
        <f t="shared" si="0"/>
        <v>104.84</v>
      </c>
      <c r="F7">
        <f t="shared" si="0"/>
        <v>125.84</v>
      </c>
      <c r="G7">
        <f t="shared" si="0"/>
        <v>148.84</v>
      </c>
      <c r="H7">
        <f t="shared" si="0"/>
        <v>173.84</v>
      </c>
      <c r="I7">
        <f t="shared" si="0"/>
        <v>200.84</v>
      </c>
      <c r="J7">
        <f t="shared" si="0"/>
        <v>229.84</v>
      </c>
      <c r="K7">
        <f t="shared" si="0"/>
        <v>260.83999999999997</v>
      </c>
    </row>
    <row r="8" spans="1:11" x14ac:dyDescent="0.25">
      <c r="A8" s="2">
        <f>$B$1+3</f>
        <v>-1.2000000000000002</v>
      </c>
      <c r="B8">
        <f t="shared" si="1"/>
        <v>50.44</v>
      </c>
      <c r="C8">
        <f t="shared" si="0"/>
        <v>65.44</v>
      </c>
      <c r="D8">
        <f t="shared" si="0"/>
        <v>82.44</v>
      </c>
      <c r="E8">
        <f t="shared" si="0"/>
        <v>101.44</v>
      </c>
      <c r="F8">
        <f t="shared" si="0"/>
        <v>122.44</v>
      </c>
      <c r="G8">
        <f t="shared" si="0"/>
        <v>145.44</v>
      </c>
      <c r="H8">
        <f t="shared" si="0"/>
        <v>170.44</v>
      </c>
      <c r="I8">
        <f t="shared" si="0"/>
        <v>197.44</v>
      </c>
      <c r="J8">
        <f t="shared" si="0"/>
        <v>226.44</v>
      </c>
      <c r="K8">
        <f t="shared" si="0"/>
        <v>257.44</v>
      </c>
    </row>
    <row r="9" spans="1:11" x14ac:dyDescent="0.25">
      <c r="A9" s="2">
        <f>$B$1+4</f>
        <v>-0.20000000000000018</v>
      </c>
      <c r="B9">
        <f t="shared" si="1"/>
        <v>49.04</v>
      </c>
      <c r="C9">
        <f t="shared" si="0"/>
        <v>64.040000000000006</v>
      </c>
      <c r="D9">
        <f t="shared" si="0"/>
        <v>81.040000000000006</v>
      </c>
      <c r="E9">
        <f t="shared" si="0"/>
        <v>100.04</v>
      </c>
      <c r="F9">
        <f t="shared" si="0"/>
        <v>121.04</v>
      </c>
      <c r="G9">
        <f t="shared" si="0"/>
        <v>144.04</v>
      </c>
      <c r="H9">
        <f t="shared" si="0"/>
        <v>169.04</v>
      </c>
      <c r="I9">
        <f t="shared" si="0"/>
        <v>196.04</v>
      </c>
      <c r="J9">
        <f t="shared" si="0"/>
        <v>225.04</v>
      </c>
      <c r="K9">
        <f t="shared" si="0"/>
        <v>256.04000000000002</v>
      </c>
    </row>
    <row r="10" spans="1:11" x14ac:dyDescent="0.25">
      <c r="A10" s="2">
        <f>$B$1+5</f>
        <v>0.79999999999999982</v>
      </c>
      <c r="B10">
        <f t="shared" si="1"/>
        <v>49.64</v>
      </c>
      <c r="C10">
        <f t="shared" si="0"/>
        <v>64.64</v>
      </c>
      <c r="D10">
        <f t="shared" si="0"/>
        <v>81.64</v>
      </c>
      <c r="E10">
        <f t="shared" si="0"/>
        <v>100.64</v>
      </c>
      <c r="F10">
        <f t="shared" si="0"/>
        <v>121.64</v>
      </c>
      <c r="G10">
        <f t="shared" si="0"/>
        <v>144.63999999999999</v>
      </c>
      <c r="H10">
        <f t="shared" si="0"/>
        <v>169.64</v>
      </c>
      <c r="I10">
        <f t="shared" si="0"/>
        <v>196.64</v>
      </c>
      <c r="J10">
        <f t="shared" si="0"/>
        <v>225.64</v>
      </c>
      <c r="K10">
        <f t="shared" si="0"/>
        <v>256.64</v>
      </c>
    </row>
    <row r="11" spans="1:11" x14ac:dyDescent="0.25">
      <c r="A11" s="2">
        <f>$B$1+6</f>
        <v>1.7999999999999998</v>
      </c>
      <c r="B11">
        <f t="shared" si="1"/>
        <v>52.24</v>
      </c>
      <c r="C11">
        <f t="shared" si="0"/>
        <v>67.239999999999995</v>
      </c>
      <c r="D11">
        <f t="shared" si="0"/>
        <v>84.24</v>
      </c>
      <c r="E11">
        <f t="shared" si="0"/>
        <v>103.24</v>
      </c>
      <c r="F11">
        <f t="shared" si="0"/>
        <v>124.24</v>
      </c>
      <c r="G11">
        <f t="shared" si="0"/>
        <v>147.24</v>
      </c>
      <c r="H11">
        <f t="shared" si="0"/>
        <v>172.24</v>
      </c>
      <c r="I11">
        <f t="shared" si="0"/>
        <v>199.24</v>
      </c>
      <c r="J11">
        <f t="shared" si="0"/>
        <v>228.24</v>
      </c>
      <c r="K11">
        <f t="shared" si="0"/>
        <v>259.24</v>
      </c>
    </row>
    <row r="12" spans="1:11" x14ac:dyDescent="0.25">
      <c r="A12" s="2">
        <f>$B$1+7</f>
        <v>2.8</v>
      </c>
      <c r="B12">
        <f t="shared" si="1"/>
        <v>56.839999999999996</v>
      </c>
      <c r="C12">
        <f t="shared" si="0"/>
        <v>71.84</v>
      </c>
      <c r="D12">
        <f t="shared" si="0"/>
        <v>88.84</v>
      </c>
      <c r="E12">
        <f t="shared" si="0"/>
        <v>107.84</v>
      </c>
      <c r="F12">
        <f t="shared" si="0"/>
        <v>128.84</v>
      </c>
      <c r="G12">
        <f t="shared" si="0"/>
        <v>151.84</v>
      </c>
      <c r="H12">
        <f t="shared" si="0"/>
        <v>176.84</v>
      </c>
      <c r="I12">
        <f t="shared" si="0"/>
        <v>203.84</v>
      </c>
      <c r="J12">
        <f t="shared" si="0"/>
        <v>232.84</v>
      </c>
      <c r="K12">
        <f t="shared" si="0"/>
        <v>263.83999999999997</v>
      </c>
    </row>
    <row r="13" spans="1:11" x14ac:dyDescent="0.25">
      <c r="A13" s="2">
        <f>$B$1+8</f>
        <v>3.8</v>
      </c>
      <c r="B13">
        <f t="shared" si="1"/>
        <v>63.44</v>
      </c>
      <c r="C13">
        <f t="shared" si="0"/>
        <v>78.44</v>
      </c>
      <c r="D13">
        <f t="shared" si="0"/>
        <v>95.44</v>
      </c>
      <c r="E13">
        <f t="shared" si="0"/>
        <v>114.44</v>
      </c>
      <c r="F13">
        <f t="shared" si="0"/>
        <v>135.44</v>
      </c>
      <c r="G13">
        <f t="shared" si="0"/>
        <v>158.44</v>
      </c>
      <c r="H13">
        <f t="shared" si="0"/>
        <v>183.44</v>
      </c>
      <c r="I13">
        <f t="shared" si="0"/>
        <v>210.44</v>
      </c>
      <c r="J13">
        <f t="shared" si="0"/>
        <v>239.44</v>
      </c>
      <c r="K13">
        <f t="shared" si="0"/>
        <v>270.44</v>
      </c>
    </row>
    <row r="14" spans="1:11" x14ac:dyDescent="0.25">
      <c r="A14" s="2">
        <f>$B$1+9</f>
        <v>4.8</v>
      </c>
      <c r="B14">
        <f t="shared" si="1"/>
        <v>72.039999999999992</v>
      </c>
      <c r="C14">
        <f t="shared" si="0"/>
        <v>87.039999999999992</v>
      </c>
      <c r="D14">
        <f t="shared" si="0"/>
        <v>104.03999999999999</v>
      </c>
      <c r="E14">
        <f t="shared" si="0"/>
        <v>123.03999999999999</v>
      </c>
      <c r="F14">
        <f t="shared" si="0"/>
        <v>144.04</v>
      </c>
      <c r="G14">
        <f t="shared" si="0"/>
        <v>167.04</v>
      </c>
      <c r="H14">
        <f t="shared" si="0"/>
        <v>192.04</v>
      </c>
      <c r="I14">
        <f t="shared" si="0"/>
        <v>219.04</v>
      </c>
      <c r="J14">
        <f t="shared" si="0"/>
        <v>248.04</v>
      </c>
      <c r="K14">
        <f t="shared" si="0"/>
        <v>279.04000000000002</v>
      </c>
    </row>
    <row r="15" spans="1:11" x14ac:dyDescent="0.25">
      <c r="A15" s="2">
        <f>$B$1+10</f>
        <v>5.8</v>
      </c>
      <c r="B15">
        <f t="shared" si="1"/>
        <v>82.64</v>
      </c>
      <c r="C15">
        <f t="shared" si="0"/>
        <v>97.64</v>
      </c>
      <c r="D15">
        <f t="shared" si="0"/>
        <v>114.64</v>
      </c>
      <c r="E15">
        <f t="shared" si="0"/>
        <v>133.63999999999999</v>
      </c>
      <c r="F15">
        <f t="shared" si="0"/>
        <v>154.63999999999999</v>
      </c>
      <c r="G15">
        <f t="shared" si="0"/>
        <v>177.64</v>
      </c>
      <c r="H15">
        <f t="shared" si="0"/>
        <v>202.64</v>
      </c>
      <c r="I15">
        <f t="shared" si="0"/>
        <v>229.64</v>
      </c>
      <c r="J15">
        <f t="shared" si="0"/>
        <v>258.64</v>
      </c>
      <c r="K15">
        <f t="shared" si="0"/>
        <v>289.64</v>
      </c>
    </row>
    <row r="33" spans="1:11" x14ac:dyDescent="0.25">
      <c r="A33" s="1" t="s">
        <v>12</v>
      </c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 t="s">
        <v>13</v>
      </c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 t="s">
        <v>14</v>
      </c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 t="s">
        <v>15</v>
      </c>
      <c r="B36" s="1"/>
      <c r="C36" s="1"/>
      <c r="D36" s="1"/>
      <c r="E36" s="1"/>
      <c r="F36" s="1"/>
      <c r="G36" s="1"/>
      <c r="H36" s="1"/>
      <c r="I36" s="1"/>
      <c r="J36" s="1"/>
      <c r="K36" s="1"/>
    </row>
  </sheetData>
  <mergeCells count="4">
    <mergeCell ref="A33:K33"/>
    <mergeCell ref="A34:K34"/>
    <mergeCell ref="A35:K35"/>
    <mergeCell ref="A36:K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2.1</vt:lpstr>
      <vt:lpstr>Задание 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dadaya21</dc:creator>
  <cp:lastModifiedBy>dadaya21</cp:lastModifiedBy>
  <dcterms:created xsi:type="dcterms:W3CDTF">2021-09-24T08:13:43Z</dcterms:created>
  <dcterms:modified xsi:type="dcterms:W3CDTF">2021-09-24T09:22:13Z</dcterms:modified>
</cp:coreProperties>
</file>