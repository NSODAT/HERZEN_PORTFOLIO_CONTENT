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MPUTAR\Desktop\HERZEN_PORTFOLIO_CONTENT\1 курс\информационные технологии (сделать)\"/>
    </mc:Choice>
  </mc:AlternateContent>
  <xr:revisionPtr revIDLastSave="0" documentId="13_ncr:1_{8B6AA78D-D066-49EB-B3D8-B2F5AE6B048C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Физика" sheetId="1" r:id="rId1"/>
    <sheet name="Статистик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 a="1"/>
  <c r="F33" i="2" s="1"/>
  <c r="C32" i="2" a="1"/>
  <c r="C33" i="2" s="1"/>
  <c r="J20" i="2"/>
  <c r="J21" i="2"/>
  <c r="J22" i="2"/>
  <c r="J23" i="2"/>
  <c r="J24" i="2"/>
  <c r="J25" i="2"/>
  <c r="J26" i="2"/>
  <c r="J27" i="2"/>
  <c r="J28" i="2"/>
  <c r="C20" i="2"/>
  <c r="D20" i="2"/>
  <c r="E20" i="2"/>
  <c r="F20" i="2"/>
  <c r="G20" i="2"/>
  <c r="H20" i="2"/>
  <c r="I20" i="2"/>
  <c r="C21" i="2"/>
  <c r="D21" i="2"/>
  <c r="D32" i="2" s="1" a="1"/>
  <c r="E21" i="2"/>
  <c r="E32" i="2" s="1" a="1"/>
  <c r="E35" i="2" s="1"/>
  <c r="F21" i="2"/>
  <c r="G21" i="2"/>
  <c r="H21" i="2"/>
  <c r="I21" i="2"/>
  <c r="C22" i="2"/>
  <c r="D22" i="2"/>
  <c r="E22" i="2"/>
  <c r="F22" i="2"/>
  <c r="G22" i="2"/>
  <c r="H22" i="2"/>
  <c r="I22" i="2"/>
  <c r="C23" i="2"/>
  <c r="D23" i="2"/>
  <c r="E23" i="2"/>
  <c r="F23" i="2"/>
  <c r="G23" i="2"/>
  <c r="H23" i="2"/>
  <c r="I23" i="2"/>
  <c r="C24" i="2"/>
  <c r="D24" i="2"/>
  <c r="E24" i="2"/>
  <c r="F24" i="2"/>
  <c r="G24" i="2"/>
  <c r="H24" i="2"/>
  <c r="I24" i="2"/>
  <c r="C25" i="2"/>
  <c r="D25" i="2"/>
  <c r="E25" i="2"/>
  <c r="F25" i="2"/>
  <c r="G25" i="2"/>
  <c r="H25" i="2"/>
  <c r="I25" i="2"/>
  <c r="C26" i="2"/>
  <c r="D26" i="2"/>
  <c r="E26" i="2"/>
  <c r="F26" i="2"/>
  <c r="G26" i="2"/>
  <c r="H26" i="2"/>
  <c r="I26" i="2"/>
  <c r="C27" i="2"/>
  <c r="D27" i="2"/>
  <c r="E27" i="2"/>
  <c r="F27" i="2"/>
  <c r="G27" i="2"/>
  <c r="H27" i="2"/>
  <c r="I27" i="2"/>
  <c r="C28" i="2"/>
  <c r="D28" i="2"/>
  <c r="E28" i="2"/>
  <c r="F28" i="2"/>
  <c r="G28" i="2"/>
  <c r="H28" i="2"/>
  <c r="I28" i="2"/>
  <c r="D19" i="2"/>
  <c r="E19" i="2"/>
  <c r="F19" i="2"/>
  <c r="G19" i="2"/>
  <c r="G32" i="2" s="1" a="1"/>
  <c r="G35" i="2" s="1"/>
  <c r="H19" i="2"/>
  <c r="H32" i="2" s="1" a="1"/>
  <c r="I19" i="2"/>
  <c r="I32" i="2" s="1" a="1"/>
  <c r="I35" i="2" s="1"/>
  <c r="C19" i="2"/>
  <c r="D35" i="2" l="1"/>
  <c r="D32" i="2"/>
  <c r="D34" i="2"/>
  <c r="D33" i="2"/>
  <c r="H32" i="2"/>
  <c r="H33" i="2"/>
  <c r="H34" i="2"/>
  <c r="H35" i="2"/>
  <c r="F35" i="2"/>
  <c r="F34" i="2"/>
  <c r="I32" i="2"/>
  <c r="I33" i="2"/>
  <c r="F32" i="2"/>
  <c r="I34" i="2"/>
  <c r="G32" i="2"/>
  <c r="G33" i="2"/>
  <c r="G34" i="2"/>
  <c r="E32" i="2"/>
  <c r="E33" i="2"/>
  <c r="E34" i="2"/>
  <c r="C34" i="2"/>
  <c r="C32" i="2"/>
  <c r="C35" i="2"/>
  <c r="I40" i="2" l="1"/>
  <c r="I37" i="2"/>
  <c r="I39" i="2"/>
  <c r="C40" i="2"/>
  <c r="C37" i="2"/>
  <c r="C39" i="2" s="1"/>
  <c r="E40" i="2"/>
  <c r="E37" i="2"/>
  <c r="E39" i="2"/>
  <c r="H40" i="2"/>
  <c r="H37" i="2"/>
  <c r="H39" i="2" s="1"/>
  <c r="G40" i="2"/>
  <c r="G37" i="2"/>
  <c r="G39" i="2"/>
  <c r="D40" i="2"/>
  <c r="D37" i="2"/>
  <c r="D39" i="2"/>
  <c r="F40" i="2"/>
  <c r="F37" i="2"/>
  <c r="F39" i="2"/>
  <c r="J19" i="2"/>
  <c r="B5" i="2" l="1"/>
  <c r="B20" i="2" s="1"/>
  <c r="B6" i="2"/>
  <c r="B21" i="2" s="1"/>
  <c r="B7" i="2"/>
  <c r="B22" i="2" s="1"/>
  <c r="B8" i="2"/>
  <c r="B23" i="2" s="1"/>
  <c r="B9" i="2"/>
  <c r="B24" i="2" s="1"/>
  <c r="B10" i="2"/>
  <c r="B25" i="2" s="1"/>
  <c r="B11" i="2"/>
  <c r="B26" i="2" s="1"/>
  <c r="B12" i="2"/>
  <c r="B27" i="2" s="1"/>
  <c r="B13" i="2"/>
  <c r="B28" i="2" s="1"/>
  <c r="B4" i="2"/>
  <c r="B19" i="2" s="1"/>
  <c r="AA10" i="1"/>
  <c r="C9" i="2" s="1"/>
  <c r="AA12" i="1"/>
  <c r="C11" i="2" s="1"/>
  <c r="D11" i="2" s="1"/>
  <c r="AA14" i="1"/>
  <c r="C13" i="2" s="1"/>
  <c r="D13" i="2" s="1"/>
  <c r="AA5" i="1"/>
  <c r="C4" i="2" s="1"/>
  <c r="Z6" i="1"/>
  <c r="AA6" i="1" s="1"/>
  <c r="C5" i="2" s="1"/>
  <c r="D5" i="2" s="1"/>
  <c r="Z7" i="1"/>
  <c r="AA7" i="1" s="1"/>
  <c r="C6" i="2" s="1"/>
  <c r="Z8" i="1"/>
  <c r="AA8" i="1" s="1"/>
  <c r="C7" i="2" s="1"/>
  <c r="D7" i="2" s="1"/>
  <c r="Z9" i="1"/>
  <c r="AA9" i="1" s="1"/>
  <c r="C8" i="2" s="1"/>
  <c r="D8" i="2" s="1"/>
  <c r="Z10" i="1"/>
  <c r="Z11" i="1"/>
  <c r="AA11" i="1" s="1"/>
  <c r="C10" i="2" s="1"/>
  <c r="Z12" i="1"/>
  <c r="Z13" i="1"/>
  <c r="AA13" i="1" s="1"/>
  <c r="C12" i="2" s="1"/>
  <c r="D12" i="2" s="1"/>
  <c r="Z14" i="1"/>
  <c r="Z5" i="1"/>
  <c r="H4" i="1"/>
  <c r="I4" i="1"/>
  <c r="L4" i="1" s="1"/>
  <c r="O4" i="1" s="1"/>
  <c r="R4" i="1" s="1"/>
  <c r="K4" i="1"/>
  <c r="N4" i="1" s="1"/>
  <c r="Q4" i="1" s="1"/>
  <c r="G4" i="1"/>
  <c r="J4" i="1" s="1"/>
  <c r="M4" i="1" s="1"/>
  <c r="P4" i="1" s="1"/>
  <c r="D9" i="2" l="1"/>
  <c r="D10" i="2"/>
  <c r="D6" i="2"/>
  <c r="D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 TUF</author>
  </authors>
  <commentList>
    <comment ref="B1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Стецук Максим</t>
        </r>
        <r>
          <rPr>
            <sz val="9"/>
            <color indexed="81"/>
            <rFont val="Tahoma"/>
            <family val="2"/>
            <charset val="204"/>
          </rPr>
          <t xml:space="preserve">
ИВТ 2гр.1п.гр.</t>
        </r>
      </text>
    </comment>
  </commentList>
</comments>
</file>

<file path=xl/sharedStrings.xml><?xml version="1.0" encoding="utf-8"?>
<sst xmlns="http://schemas.openxmlformats.org/spreadsheetml/2006/main" count="90" uniqueCount="45">
  <si>
    <t>Журнал успеваемости по физике</t>
  </si>
  <si>
    <t>№ п/п</t>
  </si>
  <si>
    <t>Фамилия</t>
  </si>
  <si>
    <t>Имя</t>
  </si>
  <si>
    <t>Даты</t>
  </si>
  <si>
    <t>С/р 1</t>
  </si>
  <si>
    <t>С/р 2</t>
  </si>
  <si>
    <t>С/р 3</t>
  </si>
  <si>
    <t>С/р 4</t>
  </si>
  <si>
    <t>С/р 5</t>
  </si>
  <si>
    <t>С/р 6</t>
  </si>
  <si>
    <t>С/р 7</t>
  </si>
  <si>
    <t>Самостоятельные работы</t>
  </si>
  <si>
    <t>Средний балл</t>
  </si>
  <si>
    <t>Итоговая отметка</t>
  </si>
  <si>
    <t>Стецук</t>
  </si>
  <si>
    <t>Максим</t>
  </si>
  <si>
    <t>Меленевский</t>
  </si>
  <si>
    <t>Андрей</t>
  </si>
  <si>
    <t>Богданович</t>
  </si>
  <si>
    <t>Руслан</t>
  </si>
  <si>
    <t>Симонов</t>
  </si>
  <si>
    <t>Сергей</t>
  </si>
  <si>
    <t>Николаев</t>
  </si>
  <si>
    <t>Владислав</t>
  </si>
  <si>
    <t>Сироткин</t>
  </si>
  <si>
    <t>Кирилл</t>
  </si>
  <si>
    <t>Шундиков</t>
  </si>
  <si>
    <t>Даниил</t>
  </si>
  <si>
    <t>Овсянников</t>
  </si>
  <si>
    <t>Марк</t>
  </si>
  <si>
    <t>Гринченко</t>
  </si>
  <si>
    <t>н</t>
  </si>
  <si>
    <t>Статистика</t>
  </si>
  <si>
    <t>Фамилия Имя</t>
  </si>
  <si>
    <t>Ранг</t>
  </si>
  <si>
    <t>Год рождения</t>
  </si>
  <si>
    <t>Отчёт по самостоятельным работам</t>
  </si>
  <si>
    <t>Осталось сдать С/р</t>
  </si>
  <si>
    <t>Белякова</t>
  </si>
  <si>
    <t>Дарья</t>
  </si>
  <si>
    <t>Количество отметок</t>
  </si>
  <si>
    <t>Всего учеников</t>
  </si>
  <si>
    <t xml:space="preserve">Качественная успеваемость (качество знаний) </t>
  </si>
  <si>
    <t>Абсолютная успеваемость (процент успеваемости)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</si>
</sst>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6" tint="-0.249977111117893"/>
      <name val="Calibri"/>
      <family val="2"/>
      <charset val="204"/>
      <scheme val="minor"/>
    </font>
    <font>
      <b/>
      <sz val="36"/>
      <color rgb="FF00B05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AE18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99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b/>
        <i val="0"/>
        <strike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</dxfs>
  <tableStyles count="0" defaultTableStyle="TableStyleMedium9" defaultPivotStyle="PivotStyleLight16"/>
  <colors>
    <mruColors>
      <color rgb="FF009900"/>
      <color rgb="FFBAE18F"/>
      <color rgb="FF008000"/>
      <color rgb="FF169A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2000" b="1"/>
              <a:t>Ранжирование</a:t>
            </a:r>
            <a:r>
              <a:rPr lang="ru-RU" sz="2000" b="1" baseline="0"/>
              <a:t> учеников</a:t>
            </a:r>
            <a:endParaRPr lang="ru-RU" sz="2000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82895888013999"/>
          <c:y val="0.1438775882181394"/>
          <c:w val="0.84705993000874891"/>
          <c:h val="0.4435378390201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Статистика!$D$3</c:f>
              <c:strCache>
                <c:ptCount val="1"/>
                <c:pt idx="0">
                  <c:v>Ранг</c:v>
                </c:pt>
              </c:strCache>
            </c:strRef>
          </c:tx>
          <c:invertIfNegative val="0"/>
          <c:cat>
            <c:strRef>
              <c:f>Статистика!$B$4:$B$13</c:f>
              <c:strCache>
                <c:ptCount val="10"/>
                <c:pt idx="0">
                  <c:v>Богданович Руслан</c:v>
                </c:pt>
                <c:pt idx="1">
                  <c:v>Гринченко Даниил</c:v>
                </c:pt>
                <c:pt idx="2">
                  <c:v>Белякова Дарья</c:v>
                </c:pt>
                <c:pt idx="3">
                  <c:v>Меленевский Андрей</c:v>
                </c:pt>
                <c:pt idx="4">
                  <c:v>Николаев Владислав</c:v>
                </c:pt>
                <c:pt idx="5">
                  <c:v>Овсянников Марк</c:v>
                </c:pt>
                <c:pt idx="6">
                  <c:v>Симонов Сергей</c:v>
                </c:pt>
                <c:pt idx="7">
                  <c:v>Сироткин Кирилл</c:v>
                </c:pt>
                <c:pt idx="8">
                  <c:v>Стецук Максим</c:v>
                </c:pt>
                <c:pt idx="9">
                  <c:v>Шундиков Даниил</c:v>
                </c:pt>
              </c:strCache>
            </c:strRef>
          </c:cat>
          <c:val>
            <c:numRef>
              <c:f>Статистика!$D$4:$D$13</c:f>
              <c:numCache>
                <c:formatCode>General</c:formatCode>
                <c:ptCount val="10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10</c:v>
                </c:pt>
                <c:pt idx="6">
                  <c:v>8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F-452B-A220-D0259FA93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95744"/>
        <c:axId val="118897280"/>
      </c:barChart>
      <c:catAx>
        <c:axId val="118895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8897280"/>
        <c:crosses val="autoZero"/>
        <c:auto val="1"/>
        <c:lblAlgn val="ctr"/>
        <c:lblOffset val="100"/>
        <c:noMultiLvlLbl val="0"/>
      </c:catAx>
      <c:valAx>
        <c:axId val="118897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895744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2</xdr:row>
      <xdr:rowOff>22860</xdr:rowOff>
    </xdr:from>
    <xdr:to>
      <xdr:col>14</xdr:col>
      <xdr:colOff>411480</xdr:colOff>
      <xdr:row>14</xdr:row>
      <xdr:rowOff>83820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zoomScaleNormal="100" workbookViewId="0">
      <selection activeCell="E20" sqref="E20"/>
    </sheetView>
  </sheetViews>
  <sheetFormatPr defaultColWidth="8.85546875" defaultRowHeight="15.75" x14ac:dyDescent="0.25"/>
  <cols>
    <col min="1" max="1" width="5.7109375" style="1" customWidth="1"/>
    <col min="2" max="2" width="14.140625" style="1" customWidth="1"/>
    <col min="3" max="3" width="15.140625" style="1" customWidth="1"/>
    <col min="4" max="4" width="9" style="1" customWidth="1"/>
    <col min="5" max="25" width="8.85546875" style="1"/>
    <col min="26" max="26" width="10.42578125" style="1" customWidth="1"/>
    <col min="27" max="27" width="11.28515625" style="1" customWidth="1"/>
    <col min="28" max="16384" width="8.85546875" style="1"/>
  </cols>
  <sheetData>
    <row r="1" spans="1:27" ht="39" customHeight="1" x14ac:dyDescent="0.25">
      <c r="A1" s="3" t="s">
        <v>0</v>
      </c>
      <c r="B1" s="2"/>
      <c r="C1" s="2"/>
      <c r="D1" s="2"/>
      <c r="E1" s="2"/>
      <c r="F1" s="2"/>
      <c r="G1" s="2"/>
      <c r="H1" s="2"/>
    </row>
    <row r="2" spans="1:27" ht="16.5" thickBot="1" x14ac:dyDescent="0.3"/>
    <row r="3" spans="1:27" ht="33" customHeight="1" thickBot="1" x14ac:dyDescent="0.3">
      <c r="A3" s="16" t="s">
        <v>1</v>
      </c>
      <c r="B3" s="18" t="s">
        <v>2</v>
      </c>
      <c r="C3" s="18" t="s">
        <v>3</v>
      </c>
      <c r="D3" s="18" t="s">
        <v>4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8" t="s">
        <v>12</v>
      </c>
      <c r="T3" s="18"/>
      <c r="U3" s="18"/>
      <c r="V3" s="18"/>
      <c r="W3" s="18"/>
      <c r="X3" s="18"/>
      <c r="Y3" s="18"/>
      <c r="Z3" s="16" t="s">
        <v>13</v>
      </c>
      <c r="AA3" s="16" t="s">
        <v>14</v>
      </c>
    </row>
    <row r="4" spans="1:27" ht="17.45" customHeight="1" thickBot="1" x14ac:dyDescent="0.3">
      <c r="A4" s="17"/>
      <c r="B4" s="19"/>
      <c r="C4" s="19"/>
      <c r="D4" s="15">
        <v>44683</v>
      </c>
      <c r="E4" s="15">
        <v>44685</v>
      </c>
      <c r="F4" s="15">
        <v>44687</v>
      </c>
      <c r="G4" s="15">
        <f>D4+7</f>
        <v>44690</v>
      </c>
      <c r="H4" s="15">
        <f t="shared" ref="H4:R4" si="0">E4+7</f>
        <v>44692</v>
      </c>
      <c r="I4" s="15">
        <f t="shared" si="0"/>
        <v>44694</v>
      </c>
      <c r="J4" s="15">
        <f t="shared" si="0"/>
        <v>44697</v>
      </c>
      <c r="K4" s="15">
        <f t="shared" si="0"/>
        <v>44699</v>
      </c>
      <c r="L4" s="15">
        <f t="shared" si="0"/>
        <v>44701</v>
      </c>
      <c r="M4" s="15">
        <f t="shared" si="0"/>
        <v>44704</v>
      </c>
      <c r="N4" s="15">
        <f t="shared" si="0"/>
        <v>44706</v>
      </c>
      <c r="O4" s="15">
        <f t="shared" si="0"/>
        <v>44708</v>
      </c>
      <c r="P4" s="15">
        <f t="shared" si="0"/>
        <v>44711</v>
      </c>
      <c r="Q4" s="15">
        <f t="shared" si="0"/>
        <v>44713</v>
      </c>
      <c r="R4" s="15">
        <f t="shared" si="0"/>
        <v>44715</v>
      </c>
      <c r="S4" s="14" t="s">
        <v>5</v>
      </c>
      <c r="T4" s="14" t="s">
        <v>6</v>
      </c>
      <c r="U4" s="14" t="s">
        <v>7</v>
      </c>
      <c r="V4" s="14" t="s">
        <v>8</v>
      </c>
      <c r="W4" s="14" t="s">
        <v>9</v>
      </c>
      <c r="X4" s="14" t="s">
        <v>10</v>
      </c>
      <c r="Y4" s="14" t="s">
        <v>11</v>
      </c>
      <c r="Z4" s="16"/>
      <c r="AA4" s="16"/>
    </row>
    <row r="5" spans="1:27" ht="16.5" thickBot="1" x14ac:dyDescent="0.3">
      <c r="A5" s="6">
        <v>1</v>
      </c>
      <c r="B5" s="6" t="s">
        <v>19</v>
      </c>
      <c r="C5" s="6" t="s">
        <v>20</v>
      </c>
      <c r="D5" s="7"/>
      <c r="E5" s="7">
        <v>2</v>
      </c>
      <c r="F5" s="7">
        <v>3</v>
      </c>
      <c r="G5" s="7" t="s">
        <v>32</v>
      </c>
      <c r="H5" s="7">
        <v>2</v>
      </c>
      <c r="I5" s="7"/>
      <c r="J5" s="7">
        <v>4</v>
      </c>
      <c r="K5" s="7"/>
      <c r="L5" s="7"/>
      <c r="M5" s="7" t="s">
        <v>32</v>
      </c>
      <c r="N5" s="7"/>
      <c r="O5" s="7"/>
      <c r="P5" s="7">
        <v>2</v>
      </c>
      <c r="Q5" s="7">
        <v>2</v>
      </c>
      <c r="R5" s="7"/>
      <c r="S5" s="7">
        <v>5</v>
      </c>
      <c r="T5" s="7">
        <v>3</v>
      </c>
      <c r="U5" s="7">
        <v>2</v>
      </c>
      <c r="V5" s="7">
        <v>4</v>
      </c>
      <c r="W5" s="7">
        <v>2</v>
      </c>
      <c r="X5" s="7">
        <v>3</v>
      </c>
      <c r="Y5" s="7">
        <v>5</v>
      </c>
      <c r="Z5" s="7">
        <f>ROUND(AVERAGE(D5:Y5),1)</f>
        <v>3</v>
      </c>
      <c r="AA5" s="7">
        <f>IF(Z5&gt;4.4,5,IF(Z5&gt;3.4,4,IF(Z5&gt;2.4,3,2)))</f>
        <v>3</v>
      </c>
    </row>
    <row r="6" spans="1:27" ht="16.5" thickBot="1" x14ac:dyDescent="0.3">
      <c r="A6" s="6">
        <v>2</v>
      </c>
      <c r="B6" s="6" t="s">
        <v>31</v>
      </c>
      <c r="C6" s="6" t="s">
        <v>28</v>
      </c>
      <c r="D6" s="7">
        <v>5</v>
      </c>
      <c r="E6" s="7"/>
      <c r="F6" s="7"/>
      <c r="G6" s="7"/>
      <c r="H6" s="7"/>
      <c r="I6" s="7"/>
      <c r="J6" s="7"/>
      <c r="K6" s="7"/>
      <c r="L6" s="7">
        <v>5</v>
      </c>
      <c r="M6" s="7"/>
      <c r="N6" s="7"/>
      <c r="O6" s="7">
        <v>5</v>
      </c>
      <c r="P6" s="7"/>
      <c r="Q6" s="7"/>
      <c r="R6" s="7">
        <v>2</v>
      </c>
      <c r="S6" s="7">
        <v>3</v>
      </c>
      <c r="T6" s="7">
        <v>5</v>
      </c>
      <c r="U6" s="7" t="s">
        <v>32</v>
      </c>
      <c r="V6" s="7">
        <v>3</v>
      </c>
      <c r="W6" s="7" t="s">
        <v>32</v>
      </c>
      <c r="X6" s="7">
        <v>2</v>
      </c>
      <c r="Y6" s="7">
        <v>3</v>
      </c>
      <c r="Z6" s="7">
        <f t="shared" ref="Z6:Z14" si="1">ROUND(AVERAGE(D6:Y6),1)</f>
        <v>3.7</v>
      </c>
      <c r="AA6" s="7">
        <f t="shared" ref="AA6:AA14" si="2">IF(Z6&gt;4.4,5,IF(Z6&gt;3.4,4,IF(Z6&gt;2.4,3,2)))</f>
        <v>4</v>
      </c>
    </row>
    <row r="7" spans="1:27" ht="16.5" thickBot="1" x14ac:dyDescent="0.3">
      <c r="A7" s="6">
        <v>3</v>
      </c>
      <c r="B7" s="6" t="s">
        <v>39</v>
      </c>
      <c r="C7" s="6" t="s">
        <v>40</v>
      </c>
      <c r="D7" s="7"/>
      <c r="E7" s="7" t="s">
        <v>32</v>
      </c>
      <c r="F7" s="7"/>
      <c r="G7" s="7">
        <v>3</v>
      </c>
      <c r="H7" s="7"/>
      <c r="I7" s="7" t="s">
        <v>32</v>
      </c>
      <c r="J7" s="7"/>
      <c r="K7" s="7">
        <v>2</v>
      </c>
      <c r="L7" s="7"/>
      <c r="M7" s="7">
        <v>3</v>
      </c>
      <c r="N7" s="7"/>
      <c r="O7" s="7"/>
      <c r="P7" s="7"/>
      <c r="Q7" s="7" t="s">
        <v>32</v>
      </c>
      <c r="R7" s="7"/>
      <c r="S7" s="7">
        <v>5</v>
      </c>
      <c r="T7" s="7" t="s">
        <v>32</v>
      </c>
      <c r="U7" s="7">
        <v>4</v>
      </c>
      <c r="V7" s="7">
        <v>4</v>
      </c>
      <c r="W7" s="7">
        <v>5</v>
      </c>
      <c r="X7" s="7">
        <v>2</v>
      </c>
      <c r="Y7" s="7">
        <v>4</v>
      </c>
      <c r="Z7" s="7">
        <f t="shared" si="1"/>
        <v>3.6</v>
      </c>
      <c r="AA7" s="7">
        <f t="shared" si="2"/>
        <v>4</v>
      </c>
    </row>
    <row r="8" spans="1:27" ht="16.5" thickBot="1" x14ac:dyDescent="0.3">
      <c r="A8" s="6">
        <v>4</v>
      </c>
      <c r="B8" s="6" t="s">
        <v>17</v>
      </c>
      <c r="C8" s="6" t="s">
        <v>18</v>
      </c>
      <c r="D8" s="7">
        <v>5</v>
      </c>
      <c r="E8" s="7"/>
      <c r="F8" s="7"/>
      <c r="G8" s="7"/>
      <c r="H8" s="7">
        <v>4</v>
      </c>
      <c r="I8" s="7"/>
      <c r="J8" s="7"/>
      <c r="K8" s="7"/>
      <c r="L8" s="7"/>
      <c r="M8" s="7" t="s">
        <v>32</v>
      </c>
      <c r="N8" s="7"/>
      <c r="O8" s="7" t="s">
        <v>32</v>
      </c>
      <c r="P8" s="7">
        <v>5</v>
      </c>
      <c r="Q8" s="7"/>
      <c r="R8" s="7">
        <v>5</v>
      </c>
      <c r="S8" s="7">
        <v>5</v>
      </c>
      <c r="T8" s="7">
        <v>4</v>
      </c>
      <c r="U8" s="7">
        <v>5</v>
      </c>
      <c r="V8" s="7">
        <v>4</v>
      </c>
      <c r="W8" s="7">
        <v>4</v>
      </c>
      <c r="X8" s="7">
        <v>5</v>
      </c>
      <c r="Y8" s="7">
        <v>3</v>
      </c>
      <c r="Z8" s="7">
        <f t="shared" si="1"/>
        <v>4.5</v>
      </c>
      <c r="AA8" s="7">
        <f t="shared" si="2"/>
        <v>5</v>
      </c>
    </row>
    <row r="9" spans="1:27" ht="16.5" thickBot="1" x14ac:dyDescent="0.3">
      <c r="A9" s="6">
        <v>5</v>
      </c>
      <c r="B9" s="6" t="s">
        <v>23</v>
      </c>
      <c r="C9" s="6" t="s">
        <v>24</v>
      </c>
      <c r="D9" s="7"/>
      <c r="E9" s="7"/>
      <c r="F9" s="7">
        <v>4</v>
      </c>
      <c r="G9" s="7"/>
      <c r="H9" s="7"/>
      <c r="I9" s="7"/>
      <c r="J9" s="7">
        <v>4</v>
      </c>
      <c r="K9" s="7" t="s">
        <v>32</v>
      </c>
      <c r="L9" s="7"/>
      <c r="M9" s="7"/>
      <c r="N9" s="7">
        <v>4</v>
      </c>
      <c r="O9" s="7"/>
      <c r="P9" s="7"/>
      <c r="Q9" s="7"/>
      <c r="R9" s="7"/>
      <c r="S9" s="7">
        <v>4</v>
      </c>
      <c r="T9" s="7">
        <v>3</v>
      </c>
      <c r="U9" s="7">
        <v>4</v>
      </c>
      <c r="V9" s="7" t="s">
        <v>32</v>
      </c>
      <c r="W9" s="7">
        <v>5</v>
      </c>
      <c r="X9" s="7">
        <v>3</v>
      </c>
      <c r="Y9" s="7" t="s">
        <v>32</v>
      </c>
      <c r="Z9" s="7">
        <f t="shared" si="1"/>
        <v>3.9</v>
      </c>
      <c r="AA9" s="7">
        <f t="shared" si="2"/>
        <v>4</v>
      </c>
    </row>
    <row r="10" spans="1:27" ht="16.5" thickBot="1" x14ac:dyDescent="0.3">
      <c r="A10" s="6">
        <v>6</v>
      </c>
      <c r="B10" s="6" t="s">
        <v>29</v>
      </c>
      <c r="C10" s="6" t="s">
        <v>30</v>
      </c>
      <c r="D10" s="7"/>
      <c r="E10" s="7"/>
      <c r="F10" s="7" t="s">
        <v>32</v>
      </c>
      <c r="G10" s="7"/>
      <c r="H10" s="7">
        <v>4</v>
      </c>
      <c r="I10" s="7">
        <v>2</v>
      </c>
      <c r="J10" s="7" t="s">
        <v>32</v>
      </c>
      <c r="K10" s="7"/>
      <c r="L10" s="7"/>
      <c r="M10" s="7">
        <v>2</v>
      </c>
      <c r="N10" s="7"/>
      <c r="O10" s="7"/>
      <c r="P10" s="7" t="s">
        <v>32</v>
      </c>
      <c r="Q10" s="7">
        <v>2</v>
      </c>
      <c r="R10" s="7"/>
      <c r="S10" s="7">
        <v>2</v>
      </c>
      <c r="T10" s="7">
        <v>2</v>
      </c>
      <c r="U10" s="7" t="s">
        <v>32</v>
      </c>
      <c r="V10" s="7">
        <v>2</v>
      </c>
      <c r="W10" s="7">
        <v>3</v>
      </c>
      <c r="X10" s="7" t="s">
        <v>32</v>
      </c>
      <c r="Y10" s="7">
        <v>3</v>
      </c>
      <c r="Z10" s="7">
        <f t="shared" si="1"/>
        <v>2.4</v>
      </c>
      <c r="AA10" s="7">
        <f t="shared" si="2"/>
        <v>2</v>
      </c>
    </row>
    <row r="11" spans="1:27" ht="16.5" thickBot="1" x14ac:dyDescent="0.3">
      <c r="A11" s="6">
        <v>7</v>
      </c>
      <c r="B11" s="6" t="s">
        <v>21</v>
      </c>
      <c r="C11" s="6" t="s">
        <v>22</v>
      </c>
      <c r="D11" s="7"/>
      <c r="E11" s="7">
        <v>3</v>
      </c>
      <c r="F11" s="7"/>
      <c r="G11" s="7">
        <v>2</v>
      </c>
      <c r="H11" s="7"/>
      <c r="I11" s="7"/>
      <c r="J11" s="7">
        <v>4</v>
      </c>
      <c r="K11" s="7">
        <v>2</v>
      </c>
      <c r="L11" s="7" t="s">
        <v>32</v>
      </c>
      <c r="M11" s="7" t="s">
        <v>32</v>
      </c>
      <c r="N11" s="7"/>
      <c r="O11" s="7">
        <v>5</v>
      </c>
      <c r="P11" s="7"/>
      <c r="Q11" s="7">
        <v>3</v>
      </c>
      <c r="R11" s="7"/>
      <c r="S11" s="7">
        <v>3</v>
      </c>
      <c r="T11" s="7">
        <v>2</v>
      </c>
      <c r="U11" s="7" t="s">
        <v>32</v>
      </c>
      <c r="V11" s="7">
        <v>2</v>
      </c>
      <c r="W11" s="7">
        <v>4</v>
      </c>
      <c r="X11" s="7">
        <v>5</v>
      </c>
      <c r="Y11" s="7">
        <v>2</v>
      </c>
      <c r="Z11" s="7">
        <f t="shared" si="1"/>
        <v>3.1</v>
      </c>
      <c r="AA11" s="7">
        <f t="shared" si="2"/>
        <v>3</v>
      </c>
    </row>
    <row r="12" spans="1:27" ht="16.5" thickBot="1" x14ac:dyDescent="0.3">
      <c r="A12" s="6">
        <v>8</v>
      </c>
      <c r="B12" s="6" t="s">
        <v>25</v>
      </c>
      <c r="C12" s="6" t="s">
        <v>26</v>
      </c>
      <c r="D12" s="7">
        <v>2</v>
      </c>
      <c r="E12" s="7"/>
      <c r="F12" s="7"/>
      <c r="G12" s="7" t="s">
        <v>32</v>
      </c>
      <c r="H12" s="7"/>
      <c r="I12" s="7">
        <v>4</v>
      </c>
      <c r="J12" s="7"/>
      <c r="K12" s="7" t="s">
        <v>32</v>
      </c>
      <c r="L12" s="7"/>
      <c r="M12" s="7">
        <v>4</v>
      </c>
      <c r="N12" s="7" t="s">
        <v>32</v>
      </c>
      <c r="O12" s="7"/>
      <c r="P12" s="7">
        <v>4</v>
      </c>
      <c r="Q12" s="7">
        <v>4</v>
      </c>
      <c r="R12" s="7" t="s">
        <v>32</v>
      </c>
      <c r="S12" s="7">
        <v>4</v>
      </c>
      <c r="T12" s="7">
        <v>4</v>
      </c>
      <c r="U12" s="7">
        <v>5</v>
      </c>
      <c r="V12" s="7">
        <v>3</v>
      </c>
      <c r="W12" s="7">
        <v>2</v>
      </c>
      <c r="X12" s="7">
        <v>4</v>
      </c>
      <c r="Y12" s="7">
        <v>2</v>
      </c>
      <c r="Z12" s="7">
        <f t="shared" si="1"/>
        <v>3.5</v>
      </c>
      <c r="AA12" s="7">
        <f t="shared" si="2"/>
        <v>4</v>
      </c>
    </row>
    <row r="13" spans="1:27" ht="16.5" thickBot="1" x14ac:dyDescent="0.3">
      <c r="A13" s="6">
        <v>9</v>
      </c>
      <c r="B13" s="6" t="s">
        <v>15</v>
      </c>
      <c r="C13" s="6" t="s">
        <v>16</v>
      </c>
      <c r="D13" s="7">
        <v>5</v>
      </c>
      <c r="E13" s="7" t="s">
        <v>32</v>
      </c>
      <c r="F13" s="7">
        <v>5</v>
      </c>
      <c r="G13" s="7"/>
      <c r="H13" s="7">
        <v>4</v>
      </c>
      <c r="I13" s="7"/>
      <c r="J13" s="7"/>
      <c r="K13" s="7" t="s">
        <v>32</v>
      </c>
      <c r="L13" s="7">
        <v>5</v>
      </c>
      <c r="M13" s="7"/>
      <c r="N13" s="7"/>
      <c r="O13" s="7">
        <v>5</v>
      </c>
      <c r="P13" s="7"/>
      <c r="Q13" s="7"/>
      <c r="R13" s="7">
        <v>5</v>
      </c>
      <c r="S13" s="7">
        <v>4</v>
      </c>
      <c r="T13" s="7">
        <v>5</v>
      </c>
      <c r="U13" s="7">
        <v>4</v>
      </c>
      <c r="V13" s="7">
        <v>5</v>
      </c>
      <c r="W13" s="7">
        <v>4</v>
      </c>
      <c r="X13" s="7">
        <v>5</v>
      </c>
      <c r="Y13" s="7">
        <v>4</v>
      </c>
      <c r="Z13" s="7">
        <f t="shared" si="1"/>
        <v>4.5999999999999996</v>
      </c>
      <c r="AA13" s="7">
        <f t="shared" si="2"/>
        <v>5</v>
      </c>
    </row>
    <row r="14" spans="1:27" ht="16.5" thickBot="1" x14ac:dyDescent="0.3">
      <c r="A14" s="6">
        <v>10</v>
      </c>
      <c r="B14" s="6" t="s">
        <v>27</v>
      </c>
      <c r="C14" s="6" t="s">
        <v>28</v>
      </c>
      <c r="D14" s="7"/>
      <c r="E14" s="7" t="s">
        <v>32</v>
      </c>
      <c r="F14" s="7" t="s">
        <v>32</v>
      </c>
      <c r="G14" s="7">
        <v>3</v>
      </c>
      <c r="H14" s="7"/>
      <c r="I14" s="7"/>
      <c r="J14" s="7">
        <v>4</v>
      </c>
      <c r="K14" s="7" t="s">
        <v>32</v>
      </c>
      <c r="L14" s="7"/>
      <c r="M14" s="7">
        <v>5</v>
      </c>
      <c r="N14" s="7" t="s">
        <v>32</v>
      </c>
      <c r="O14" s="7" t="s">
        <v>32</v>
      </c>
      <c r="P14" s="7">
        <v>2</v>
      </c>
      <c r="Q14" s="7"/>
      <c r="R14" s="7">
        <v>5</v>
      </c>
      <c r="S14" s="7">
        <v>5</v>
      </c>
      <c r="T14" s="7">
        <v>3</v>
      </c>
      <c r="U14" s="7" t="s">
        <v>32</v>
      </c>
      <c r="V14" s="7">
        <v>3</v>
      </c>
      <c r="W14" s="7" t="s">
        <v>32</v>
      </c>
      <c r="X14" s="7">
        <v>3</v>
      </c>
      <c r="Y14" s="7">
        <v>3</v>
      </c>
      <c r="Z14" s="7">
        <f t="shared" si="1"/>
        <v>3.6</v>
      </c>
      <c r="AA14" s="7">
        <f t="shared" si="2"/>
        <v>4</v>
      </c>
    </row>
  </sheetData>
  <sortState xmlns:xlrd2="http://schemas.microsoft.com/office/spreadsheetml/2017/richdata2" ref="B5:C14">
    <sortCondition ref="B5"/>
  </sortState>
  <mergeCells count="7">
    <mergeCell ref="Z3:Z4"/>
    <mergeCell ref="AA3:AA4"/>
    <mergeCell ref="A3:A4"/>
    <mergeCell ref="B3:B4"/>
    <mergeCell ref="C3:C4"/>
    <mergeCell ref="D3:R3"/>
    <mergeCell ref="S3:Y3"/>
  </mergeCells>
  <pageMargins left="0.7" right="0.7" top="0.75" bottom="0.75" header="0.3" footer="0.3"/>
  <pageSetup paperSize="9" orientation="portrait" r:id="rId1"/>
  <headerFooter>
    <oddHeader>&amp;CСтецук М.Н. ИВТ 2гр.1п.гр.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abSelected="1" zoomScale="85" zoomScaleNormal="85" workbookViewId="0">
      <selection activeCell="T18" sqref="T18"/>
    </sheetView>
  </sheetViews>
  <sheetFormatPr defaultColWidth="8.85546875" defaultRowHeight="15.75" x14ac:dyDescent="0.25"/>
  <cols>
    <col min="1" max="1" width="8" style="1" customWidth="1"/>
    <col min="2" max="2" width="25.7109375" style="1" customWidth="1"/>
    <col min="3" max="3" width="13.7109375" style="1" customWidth="1"/>
    <col min="4" max="5" width="8.85546875" style="1"/>
    <col min="6" max="6" width="13.85546875" style="1" customWidth="1"/>
    <col min="7" max="9" width="8.85546875" style="1"/>
    <col min="10" max="10" width="12.28515625" style="1" customWidth="1"/>
    <col min="11" max="16384" width="8.85546875" style="1"/>
  </cols>
  <sheetData>
    <row r="1" spans="1:6" ht="46.5" x14ac:dyDescent="0.7">
      <c r="A1" s="4" t="s">
        <v>33</v>
      </c>
    </row>
    <row r="2" spans="1:6" ht="16.5" thickBot="1" x14ac:dyDescent="0.3"/>
    <row r="3" spans="1:6" ht="33.6" customHeight="1" thickBot="1" x14ac:dyDescent="0.3">
      <c r="A3" s="13" t="s">
        <v>1</v>
      </c>
      <c r="B3" s="14" t="s">
        <v>34</v>
      </c>
      <c r="C3" s="13" t="s">
        <v>14</v>
      </c>
      <c r="D3" s="14" t="s">
        <v>35</v>
      </c>
      <c r="F3" s="10" t="s">
        <v>36</v>
      </c>
    </row>
    <row r="4" spans="1:6" ht="16.5" thickBot="1" x14ac:dyDescent="0.3">
      <c r="A4" s="8">
        <v>1</v>
      </c>
      <c r="B4" s="9" t="str">
        <f>CONCATENATE(Физика!B5," ",Физика!C5)</f>
        <v>Богданович Руслан</v>
      </c>
      <c r="C4" s="8">
        <f>Физика!AA5</f>
        <v>3</v>
      </c>
      <c r="D4" s="8">
        <f>RANK(C4,$C$4:$C$13)</f>
        <v>8</v>
      </c>
      <c r="F4" s="8">
        <v>1999</v>
      </c>
    </row>
    <row r="5" spans="1:6" ht="16.5" thickBot="1" x14ac:dyDescent="0.3">
      <c r="A5" s="8">
        <v>2</v>
      </c>
      <c r="B5" s="9" t="str">
        <f>CONCATENATE(Физика!B6," ",Физика!C6)</f>
        <v>Гринченко Даниил</v>
      </c>
      <c r="C5" s="8">
        <f>Физика!AA6</f>
        <v>4</v>
      </c>
      <c r="D5" s="8">
        <f t="shared" ref="D5:D13" si="0">RANK(C5,$C$4:$C$13)</f>
        <v>3</v>
      </c>
      <c r="F5" s="8">
        <v>1998</v>
      </c>
    </row>
    <row r="6" spans="1:6" ht="16.5" thickBot="1" x14ac:dyDescent="0.3">
      <c r="A6" s="8">
        <v>3</v>
      </c>
      <c r="B6" s="9" t="str">
        <f>CONCATENATE(Физика!B7," ",Физика!C7)</f>
        <v>Белякова Дарья</v>
      </c>
      <c r="C6" s="8">
        <f>Физика!AA7</f>
        <v>4</v>
      </c>
      <c r="D6" s="8">
        <f t="shared" si="0"/>
        <v>3</v>
      </c>
      <c r="F6" s="8">
        <v>1997</v>
      </c>
    </row>
    <row r="7" spans="1:6" ht="16.5" thickBot="1" x14ac:dyDescent="0.3">
      <c r="A7" s="8">
        <v>4</v>
      </c>
      <c r="B7" s="9" t="str">
        <f>CONCATENATE(Физика!B8," ",Физика!C8)</f>
        <v>Меленевский Андрей</v>
      </c>
      <c r="C7" s="8">
        <f>Физика!AA8</f>
        <v>5</v>
      </c>
      <c r="D7" s="8">
        <f t="shared" si="0"/>
        <v>1</v>
      </c>
      <c r="F7" s="8">
        <v>1998</v>
      </c>
    </row>
    <row r="8" spans="1:6" ht="16.5" thickBot="1" x14ac:dyDescent="0.3">
      <c r="A8" s="8">
        <v>5</v>
      </c>
      <c r="B8" s="9" t="str">
        <f>CONCATENATE(Физика!B9," ",Физика!C9)</f>
        <v>Николаев Владислав</v>
      </c>
      <c r="C8" s="8">
        <f>Физика!AA9</f>
        <v>4</v>
      </c>
      <c r="D8" s="8">
        <f t="shared" si="0"/>
        <v>3</v>
      </c>
      <c r="F8" s="8">
        <v>1997</v>
      </c>
    </row>
    <row r="9" spans="1:6" ht="16.5" thickBot="1" x14ac:dyDescent="0.3">
      <c r="A9" s="8">
        <v>6</v>
      </c>
      <c r="B9" s="9" t="str">
        <f>CONCATENATE(Физика!B10," ",Физика!C10)</f>
        <v>Овсянников Марк</v>
      </c>
      <c r="C9" s="8">
        <f>Физика!AA10</f>
        <v>2</v>
      </c>
      <c r="D9" s="8">
        <f t="shared" si="0"/>
        <v>10</v>
      </c>
      <c r="F9" s="8">
        <v>1998</v>
      </c>
    </row>
    <row r="10" spans="1:6" ht="16.5" thickBot="1" x14ac:dyDescent="0.3">
      <c r="A10" s="8">
        <v>7</v>
      </c>
      <c r="B10" s="9" t="str">
        <f>CONCATENATE(Физика!B11," ",Физика!C11)</f>
        <v>Симонов Сергей</v>
      </c>
      <c r="C10" s="8">
        <f>Физика!AA11</f>
        <v>3</v>
      </c>
      <c r="D10" s="8">
        <f t="shared" si="0"/>
        <v>8</v>
      </c>
      <c r="F10" s="8">
        <v>1999</v>
      </c>
    </row>
    <row r="11" spans="1:6" ht="16.5" thickBot="1" x14ac:dyDescent="0.3">
      <c r="A11" s="8">
        <v>8</v>
      </c>
      <c r="B11" s="9" t="str">
        <f>CONCATENATE(Физика!B12," ",Физика!C12)</f>
        <v>Сироткин Кирилл</v>
      </c>
      <c r="C11" s="8">
        <f>Физика!AA12</f>
        <v>4</v>
      </c>
      <c r="D11" s="8">
        <f t="shared" si="0"/>
        <v>3</v>
      </c>
      <c r="F11" s="8">
        <v>1998</v>
      </c>
    </row>
    <row r="12" spans="1:6" ht="16.5" thickBot="1" x14ac:dyDescent="0.3">
      <c r="A12" s="8">
        <v>9</v>
      </c>
      <c r="B12" s="9" t="str">
        <f>CONCATENATE(Физика!B13," ",Физика!C13)</f>
        <v>Стецук Максим</v>
      </c>
      <c r="C12" s="8">
        <f>Физика!AA13</f>
        <v>5</v>
      </c>
      <c r="D12" s="8">
        <f t="shared" si="0"/>
        <v>1</v>
      </c>
      <c r="F12" s="8">
        <v>1999</v>
      </c>
    </row>
    <row r="13" spans="1:6" ht="16.5" thickBot="1" x14ac:dyDescent="0.3">
      <c r="A13" s="8">
        <v>10</v>
      </c>
      <c r="B13" s="9" t="str">
        <f>CONCATENATE(Физика!B14," ",Физика!C14)</f>
        <v>Шундиков Даниил</v>
      </c>
      <c r="C13" s="8">
        <f>Физика!AA14</f>
        <v>4</v>
      </c>
      <c r="D13" s="8">
        <f t="shared" si="0"/>
        <v>3</v>
      </c>
      <c r="F13" s="8">
        <v>1997</v>
      </c>
    </row>
    <row r="16" spans="1:6" ht="46.5" x14ac:dyDescent="0.7">
      <c r="A16" s="4" t="s">
        <v>37</v>
      </c>
    </row>
    <row r="17" spans="1:10" ht="16.5" thickBot="1" x14ac:dyDescent="0.3"/>
    <row r="18" spans="1:10" ht="34.15" customHeight="1" thickBot="1" x14ac:dyDescent="0.3">
      <c r="A18" s="13" t="s">
        <v>1</v>
      </c>
      <c r="B18" s="14" t="s">
        <v>34</v>
      </c>
      <c r="C18" s="14" t="s">
        <v>5</v>
      </c>
      <c r="D18" s="14" t="s">
        <v>6</v>
      </c>
      <c r="E18" s="14" t="s">
        <v>7</v>
      </c>
      <c r="F18" s="14" t="s">
        <v>8</v>
      </c>
      <c r="G18" s="14" t="s">
        <v>9</v>
      </c>
      <c r="H18" s="14" t="s">
        <v>10</v>
      </c>
      <c r="I18" s="14" t="s">
        <v>11</v>
      </c>
      <c r="J18" s="13" t="s">
        <v>38</v>
      </c>
    </row>
    <row r="19" spans="1:10" ht="16.5" thickBot="1" x14ac:dyDescent="0.3">
      <c r="A19" s="8">
        <v>1</v>
      </c>
      <c r="B19" s="9" t="str">
        <f>B4</f>
        <v>Богданович Руслан</v>
      </c>
      <c r="C19" s="8">
        <f>Физика!S5</f>
        <v>5</v>
      </c>
      <c r="D19" s="8">
        <f>Физика!T5</f>
        <v>3</v>
      </c>
      <c r="E19" s="8">
        <f>Физика!U5</f>
        <v>2</v>
      </c>
      <c r="F19" s="8">
        <f>Физика!V5</f>
        <v>4</v>
      </c>
      <c r="G19" s="8">
        <f>Физика!W5</f>
        <v>2</v>
      </c>
      <c r="H19" s="8">
        <f>Физика!X5</f>
        <v>3</v>
      </c>
      <c r="I19" s="8">
        <f>Физика!Y5</f>
        <v>5</v>
      </c>
      <c r="J19" s="11">
        <f>COUNTIF(C19:I19,"н")+COUNTIF(C19:I19,"")+COUNTIF(C19:I19,"2")</f>
        <v>2</v>
      </c>
    </row>
    <row r="20" spans="1:10" ht="16.5" thickBot="1" x14ac:dyDescent="0.3">
      <c r="A20" s="8">
        <v>2</v>
      </c>
      <c r="B20" s="9" t="str">
        <f t="shared" ref="B20:B28" si="1">B5</f>
        <v>Гринченко Даниил</v>
      </c>
      <c r="C20" s="8">
        <f>Физика!S6</f>
        <v>3</v>
      </c>
      <c r="D20" s="8">
        <f>Физика!T6</f>
        <v>5</v>
      </c>
      <c r="E20" s="8" t="str">
        <f>Физика!U6</f>
        <v>н</v>
      </c>
      <c r="F20" s="8">
        <f>Физика!V6</f>
        <v>3</v>
      </c>
      <c r="G20" s="8" t="str">
        <f>Физика!W6</f>
        <v>н</v>
      </c>
      <c r="H20" s="8">
        <f>Физика!X6</f>
        <v>2</v>
      </c>
      <c r="I20" s="8">
        <f>Физика!Y6</f>
        <v>3</v>
      </c>
      <c r="J20" s="11">
        <f t="shared" ref="J20:J28" si="2">COUNTIF(C20:I20,"н")+COUNTIF(C20:I20,"")+COUNTIF(C20:I20,"2")</f>
        <v>3</v>
      </c>
    </row>
    <row r="21" spans="1:10" ht="16.5" thickBot="1" x14ac:dyDescent="0.3">
      <c r="A21" s="8">
        <v>3</v>
      </c>
      <c r="B21" s="9" t="str">
        <f t="shared" si="1"/>
        <v>Белякова Дарья</v>
      </c>
      <c r="C21" s="8">
        <f>Физика!S7</f>
        <v>5</v>
      </c>
      <c r="D21" s="8" t="str">
        <f>Физика!T7</f>
        <v>н</v>
      </c>
      <c r="E21" s="8">
        <f>Физика!U7</f>
        <v>4</v>
      </c>
      <c r="F21" s="8">
        <f>Физика!V7</f>
        <v>4</v>
      </c>
      <c r="G21" s="8">
        <f>Физика!W7</f>
        <v>5</v>
      </c>
      <c r="H21" s="8">
        <f>Физика!X7</f>
        <v>2</v>
      </c>
      <c r="I21" s="8">
        <f>Физика!Y7</f>
        <v>4</v>
      </c>
      <c r="J21" s="11">
        <f t="shared" si="2"/>
        <v>2</v>
      </c>
    </row>
    <row r="22" spans="1:10" ht="16.5" thickBot="1" x14ac:dyDescent="0.3">
      <c r="A22" s="8">
        <v>4</v>
      </c>
      <c r="B22" s="9" t="str">
        <f t="shared" si="1"/>
        <v>Меленевский Андрей</v>
      </c>
      <c r="C22" s="8">
        <f>Физика!S8</f>
        <v>5</v>
      </c>
      <c r="D22" s="8">
        <f>Физика!T8</f>
        <v>4</v>
      </c>
      <c r="E22" s="8">
        <f>Физика!U8</f>
        <v>5</v>
      </c>
      <c r="F22" s="8">
        <f>Физика!V8</f>
        <v>4</v>
      </c>
      <c r="G22" s="8">
        <f>Физика!W8</f>
        <v>4</v>
      </c>
      <c r="H22" s="8">
        <f>Физика!X8</f>
        <v>5</v>
      </c>
      <c r="I22" s="8">
        <f>Физика!Y8</f>
        <v>3</v>
      </c>
      <c r="J22" s="11">
        <f t="shared" si="2"/>
        <v>0</v>
      </c>
    </row>
    <row r="23" spans="1:10" ht="16.5" thickBot="1" x14ac:dyDescent="0.3">
      <c r="A23" s="8">
        <v>5</v>
      </c>
      <c r="B23" s="9" t="str">
        <f t="shared" si="1"/>
        <v>Николаев Владислав</v>
      </c>
      <c r="C23" s="8">
        <f>Физика!S9</f>
        <v>4</v>
      </c>
      <c r="D23" s="8">
        <f>Физика!T9</f>
        <v>3</v>
      </c>
      <c r="E23" s="8">
        <f>Физика!U9</f>
        <v>4</v>
      </c>
      <c r="F23" s="8" t="str">
        <f>Физика!V9</f>
        <v>н</v>
      </c>
      <c r="G23" s="8">
        <f>Физика!W9</f>
        <v>5</v>
      </c>
      <c r="H23" s="8">
        <f>Физика!X9</f>
        <v>3</v>
      </c>
      <c r="I23" s="8" t="str">
        <f>Физика!Y9</f>
        <v>н</v>
      </c>
      <c r="J23" s="11">
        <f t="shared" si="2"/>
        <v>2</v>
      </c>
    </row>
    <row r="24" spans="1:10" ht="16.5" thickBot="1" x14ac:dyDescent="0.3">
      <c r="A24" s="8">
        <v>6</v>
      </c>
      <c r="B24" s="9" t="str">
        <f t="shared" si="1"/>
        <v>Овсянников Марк</v>
      </c>
      <c r="C24" s="8">
        <f>Физика!S10</f>
        <v>2</v>
      </c>
      <c r="D24" s="8">
        <f>Физика!T10</f>
        <v>2</v>
      </c>
      <c r="E24" s="8" t="str">
        <f>Физика!U10</f>
        <v>н</v>
      </c>
      <c r="F24" s="8">
        <f>Физика!V10</f>
        <v>2</v>
      </c>
      <c r="G24" s="8">
        <f>Физика!W10</f>
        <v>3</v>
      </c>
      <c r="H24" s="8" t="str">
        <f>Физика!X10</f>
        <v>н</v>
      </c>
      <c r="I24" s="8">
        <f>Физика!Y10</f>
        <v>3</v>
      </c>
      <c r="J24" s="11">
        <f t="shared" si="2"/>
        <v>5</v>
      </c>
    </row>
    <row r="25" spans="1:10" ht="16.5" thickBot="1" x14ac:dyDescent="0.3">
      <c r="A25" s="8">
        <v>7</v>
      </c>
      <c r="B25" s="9" t="str">
        <f t="shared" si="1"/>
        <v>Симонов Сергей</v>
      </c>
      <c r="C25" s="8">
        <f>Физика!S11</f>
        <v>3</v>
      </c>
      <c r="D25" s="8">
        <f>Физика!T11</f>
        <v>2</v>
      </c>
      <c r="E25" s="8" t="str">
        <f>Физика!U11</f>
        <v>н</v>
      </c>
      <c r="F25" s="8">
        <f>Физика!V11</f>
        <v>2</v>
      </c>
      <c r="G25" s="8">
        <f>Физика!W11</f>
        <v>4</v>
      </c>
      <c r="H25" s="8">
        <f>Физика!X11</f>
        <v>5</v>
      </c>
      <c r="I25" s="8">
        <f>Физика!Y11</f>
        <v>2</v>
      </c>
      <c r="J25" s="11">
        <f t="shared" si="2"/>
        <v>4</v>
      </c>
    </row>
    <row r="26" spans="1:10" ht="16.5" thickBot="1" x14ac:dyDescent="0.3">
      <c r="A26" s="8">
        <v>8</v>
      </c>
      <c r="B26" s="9" t="str">
        <f t="shared" si="1"/>
        <v>Сироткин Кирилл</v>
      </c>
      <c r="C26" s="8">
        <f>Физика!S12</f>
        <v>4</v>
      </c>
      <c r="D26" s="8">
        <f>Физика!T12</f>
        <v>4</v>
      </c>
      <c r="E26" s="8">
        <f>Физика!U12</f>
        <v>5</v>
      </c>
      <c r="F26" s="8">
        <f>Физика!V12</f>
        <v>3</v>
      </c>
      <c r="G26" s="8">
        <f>Физика!W12</f>
        <v>2</v>
      </c>
      <c r="H26" s="8">
        <f>Физика!X12</f>
        <v>4</v>
      </c>
      <c r="I26" s="8">
        <f>Физика!Y12</f>
        <v>2</v>
      </c>
      <c r="J26" s="11">
        <f t="shared" si="2"/>
        <v>2</v>
      </c>
    </row>
    <row r="27" spans="1:10" ht="16.5" thickBot="1" x14ac:dyDescent="0.3">
      <c r="A27" s="8">
        <v>9</v>
      </c>
      <c r="B27" s="9" t="str">
        <f t="shared" si="1"/>
        <v>Стецук Максим</v>
      </c>
      <c r="C27" s="8">
        <f>Физика!S13</f>
        <v>4</v>
      </c>
      <c r="D27" s="8">
        <f>Физика!T13</f>
        <v>5</v>
      </c>
      <c r="E27" s="8">
        <f>Физика!U13</f>
        <v>4</v>
      </c>
      <c r="F27" s="8">
        <f>Физика!V13</f>
        <v>5</v>
      </c>
      <c r="G27" s="8">
        <f>Физика!W13</f>
        <v>4</v>
      </c>
      <c r="H27" s="8">
        <f>Физика!X13</f>
        <v>5</v>
      </c>
      <c r="I27" s="8">
        <f>Физика!Y13</f>
        <v>4</v>
      </c>
      <c r="J27" s="11">
        <f t="shared" si="2"/>
        <v>0</v>
      </c>
    </row>
    <row r="28" spans="1:10" ht="16.5" thickBot="1" x14ac:dyDescent="0.3">
      <c r="A28" s="8">
        <v>10</v>
      </c>
      <c r="B28" s="9" t="str">
        <f t="shared" si="1"/>
        <v>Шундиков Даниил</v>
      </c>
      <c r="C28" s="8">
        <f>Физика!S14</f>
        <v>5</v>
      </c>
      <c r="D28" s="8">
        <f>Физика!T14</f>
        <v>3</v>
      </c>
      <c r="E28" s="8" t="str">
        <f>Физика!U14</f>
        <v>н</v>
      </c>
      <c r="F28" s="8">
        <f>Физика!V14</f>
        <v>3</v>
      </c>
      <c r="G28" s="8" t="str">
        <f>Физика!W14</f>
        <v>н</v>
      </c>
      <c r="H28" s="8">
        <f>Физика!X14</f>
        <v>3</v>
      </c>
      <c r="I28" s="8">
        <f>Физика!Y14</f>
        <v>3</v>
      </c>
      <c r="J28" s="11">
        <f t="shared" si="2"/>
        <v>2</v>
      </c>
    </row>
    <row r="30" spans="1:10" ht="16.5" thickBot="1" x14ac:dyDescent="0.3"/>
    <row r="31" spans="1:10" ht="16.5" thickBot="1" x14ac:dyDescent="0.3">
      <c r="C31" s="18" t="s">
        <v>41</v>
      </c>
      <c r="D31" s="18"/>
      <c r="E31" s="18"/>
      <c r="F31" s="18"/>
      <c r="G31" s="18"/>
      <c r="H31" s="18"/>
      <c r="I31" s="18"/>
    </row>
    <row r="32" spans="1:10" ht="16.5" thickBot="1" x14ac:dyDescent="0.3">
      <c r="B32" s="14">
        <v>5</v>
      </c>
      <c r="C32" s="8">
        <f t="array" ref="C32:C35">FREQUENCY(C19:C28,$B$32:$B$35)</f>
        <v>4</v>
      </c>
      <c r="D32" s="8">
        <f t="array" ref="D32:D35">FREQUENCY(D19:D28,$B$32:$B$35)</f>
        <v>2</v>
      </c>
      <c r="E32" s="8">
        <f t="array" ref="E32:E35">FREQUENCY(E19:E28,$B$32:$B$35)</f>
        <v>2</v>
      </c>
      <c r="F32" s="8">
        <f t="array" ref="F32:F35">FREQUENCY(F19:F28,$B$32:$B$35)</f>
        <v>1</v>
      </c>
      <c r="G32" s="8">
        <f t="array" ref="G32:G35">FREQUENCY(G19:G28,$B$32:$B$35)</f>
        <v>2</v>
      </c>
      <c r="H32" s="8">
        <f t="array" ref="H32:H35">FREQUENCY(H19:H28,$B$32:$B$35)</f>
        <v>3</v>
      </c>
      <c r="I32" s="8">
        <f t="array" ref="I32:I35">FREQUENCY(I19:I28,$B$32:$B$35)</f>
        <v>1</v>
      </c>
    </row>
    <row r="33" spans="1:9" ht="16.5" thickBot="1" x14ac:dyDescent="0.3">
      <c r="B33" s="14">
        <v>4</v>
      </c>
      <c r="C33" s="8">
        <v>3</v>
      </c>
      <c r="D33" s="8">
        <v>2</v>
      </c>
      <c r="E33" s="8">
        <v>3</v>
      </c>
      <c r="F33" s="8">
        <v>3</v>
      </c>
      <c r="G33" s="8">
        <v>3</v>
      </c>
      <c r="H33" s="8">
        <v>1</v>
      </c>
      <c r="I33" s="8">
        <v>2</v>
      </c>
    </row>
    <row r="34" spans="1:9" ht="16.5" thickBot="1" x14ac:dyDescent="0.3">
      <c r="B34" s="14">
        <v>3</v>
      </c>
      <c r="C34" s="8">
        <v>2</v>
      </c>
      <c r="D34" s="8">
        <v>3</v>
      </c>
      <c r="E34" s="8">
        <v>0</v>
      </c>
      <c r="F34" s="8">
        <v>3</v>
      </c>
      <c r="G34" s="8">
        <v>1</v>
      </c>
      <c r="H34" s="8">
        <v>3</v>
      </c>
      <c r="I34" s="8">
        <v>4</v>
      </c>
    </row>
    <row r="35" spans="1:9" ht="16.5" thickBot="1" x14ac:dyDescent="0.3">
      <c r="B35" s="14">
        <v>2</v>
      </c>
      <c r="C35" s="8">
        <v>1</v>
      </c>
      <c r="D35" s="8">
        <v>2</v>
      </c>
      <c r="E35" s="8">
        <v>1</v>
      </c>
      <c r="F35" s="8">
        <v>2</v>
      </c>
      <c r="G35" s="8">
        <v>2</v>
      </c>
      <c r="H35" s="8">
        <v>2</v>
      </c>
      <c r="I35" s="8">
        <v>2</v>
      </c>
    </row>
    <row r="36" spans="1:9" ht="16.5" thickBot="1" x14ac:dyDescent="0.3">
      <c r="B36" s="5"/>
    </row>
    <row r="37" spans="1:9" ht="16.5" thickBot="1" x14ac:dyDescent="0.3">
      <c r="B37" s="14" t="s">
        <v>42</v>
      </c>
      <c r="C37" s="8">
        <f>SUM(C32:C35)</f>
        <v>10</v>
      </c>
      <c r="D37" s="8">
        <f t="shared" ref="D37:I37" si="3">SUM(D32:D35)</f>
        <v>9</v>
      </c>
      <c r="E37" s="8">
        <f t="shared" si="3"/>
        <v>6</v>
      </c>
      <c r="F37" s="8">
        <f t="shared" si="3"/>
        <v>9</v>
      </c>
      <c r="G37" s="8">
        <f t="shared" si="3"/>
        <v>8</v>
      </c>
      <c r="H37" s="8">
        <f t="shared" si="3"/>
        <v>9</v>
      </c>
      <c r="I37" s="8">
        <f t="shared" si="3"/>
        <v>9</v>
      </c>
    </row>
    <row r="38" spans="1:9" ht="16.5" thickBot="1" x14ac:dyDescent="0.3"/>
    <row r="39" spans="1:9" ht="32.450000000000003" customHeight="1" thickBot="1" x14ac:dyDescent="0.3">
      <c r="A39" s="16" t="s">
        <v>43</v>
      </c>
      <c r="B39" s="16"/>
      <c r="C39" s="12">
        <f>((C32+C33)*100%)/C37</f>
        <v>0.7</v>
      </c>
      <c r="D39" s="12">
        <f t="shared" ref="D39:I39" si="4">((D32+D33)*100%)/D37</f>
        <v>0.44444444444444442</v>
      </c>
      <c r="E39" s="12">
        <f t="shared" si="4"/>
        <v>0.83333333333333337</v>
      </c>
      <c r="F39" s="12">
        <f t="shared" si="4"/>
        <v>0.44444444444444442</v>
      </c>
      <c r="G39" s="12">
        <f t="shared" si="4"/>
        <v>0.625</v>
      </c>
      <c r="H39" s="12">
        <f t="shared" si="4"/>
        <v>0.44444444444444442</v>
      </c>
      <c r="I39" s="12">
        <f t="shared" si="4"/>
        <v>0.33333333333333331</v>
      </c>
    </row>
    <row r="40" spans="1:9" ht="32.450000000000003" customHeight="1" thickBot="1" x14ac:dyDescent="0.3">
      <c r="A40" s="16" t="s">
        <v>44</v>
      </c>
      <c r="B40" s="16"/>
      <c r="C40" s="12">
        <f>(SUM(C32:C34)*100%)/10</f>
        <v>0.9</v>
      </c>
      <c r="D40" s="12">
        <f t="shared" ref="D40:I40" si="5">(SUM(D32:D34)*100%)/10</f>
        <v>0.7</v>
      </c>
      <c r="E40" s="12">
        <f t="shared" si="5"/>
        <v>0.5</v>
      </c>
      <c r="F40" s="12">
        <f t="shared" si="5"/>
        <v>0.7</v>
      </c>
      <c r="G40" s="12">
        <f t="shared" si="5"/>
        <v>0.6</v>
      </c>
      <c r="H40" s="12">
        <f t="shared" si="5"/>
        <v>0.7</v>
      </c>
      <c r="I40" s="12">
        <f t="shared" si="5"/>
        <v>0.7</v>
      </c>
    </row>
  </sheetData>
  <mergeCells count="3">
    <mergeCell ref="C31:I31"/>
    <mergeCell ref="A39:B39"/>
    <mergeCell ref="A40:B40"/>
  </mergeCells>
  <conditionalFormatting sqref="C4:C13">
    <cfRule type="cellIs" dxfId="2" priority="1" operator="equal">
      <formula>3</formula>
    </cfRule>
    <cfRule type="cellIs" dxfId="1" priority="2" operator="equal">
      <formula>4</formula>
    </cfRule>
    <cfRule type="cellIs" dxfId="0" priority="3" operator="equal">
      <formula>5</formula>
    </cfRule>
  </conditionalFormatting>
  <dataValidations count="1">
    <dataValidation type="list" allowBlank="1" showInputMessage="1" showErrorMessage="1" errorTitle="Стецук Максим" error="Ошибка. Надо выбирать год рождения" promptTitle="Стецук Максим" prompt="Выбери свой год рождения" sqref="F4:F13" xr:uid="{00000000-0002-0000-0100-000000000000}">
      <formula1>"1997,1998,1999"</formula1>
    </dataValidation>
  </dataValidations>
  <pageMargins left="0.7" right="0.7" top="0.75" bottom="0.75" header="0.3" footer="0.3"/>
  <pageSetup paperSize="9" orientation="portrait" r:id="rId1"/>
  <headerFooter>
    <oddHeader>&amp;CСтецук М.Н. ИВТ 2гр.1п.гр.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Физика</vt:lpstr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KOMPUTAR</cp:lastModifiedBy>
  <dcterms:created xsi:type="dcterms:W3CDTF">2022-06-08T08:08:49Z</dcterms:created>
  <dcterms:modified xsi:type="dcterms:W3CDTF">2026-05-30T07:25:48Z</dcterms:modified>
</cp:coreProperties>
</file>