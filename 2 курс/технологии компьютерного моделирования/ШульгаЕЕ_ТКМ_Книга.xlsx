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задача1" sheetId="1" state="visible" r:id="rId1"/>
    <sheet name="задача2" sheetId="2" state="visible" r:id="rId2"/>
  </sheets>
  <calcPr/>
</workbook>
</file>

<file path=xl/sharedStrings.xml><?xml version="1.0" encoding="utf-8"?>
<sst xmlns="http://schemas.openxmlformats.org/spreadsheetml/2006/main" count="9" uniqueCount="9">
  <si>
    <t xml:space="preserve">Сумма значений чистоты катализатора</t>
  </si>
  <si>
    <t xml:space="preserve">Сумма значений октанового числа</t>
  </si>
  <si>
    <t xml:space="preserve">Сумма произведений значений чистоты катализатора на соответствующие значения октанового числа</t>
  </si>
  <si>
    <t xml:space="preserve">Сумма квадратов значений чистоты катализатора</t>
  </si>
  <si>
    <t xml:space="preserve">вычисления коэффициентов a и b:</t>
  </si>
  <si>
    <t>A=</t>
  </si>
  <si>
    <t>B=</t>
  </si>
  <si>
    <t xml:space="preserve">октановое число для чистоты катализатора = 87%</t>
  </si>
  <si>
    <t xml:space="preserve">вывод: исходя из линии тренда, можно понять, что коэффициент загрязнения в будущем будет расти, что не есть хорошо, без принятия особых мер ситуация только усугубится!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</si>
</sst>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sz val="12.000000"/>
      <color rgb="FF0D0D0D"/>
      <name val="Söhn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линейной зависимости у(</a:t>
            </a:r>
            <a:r>
              <a:rPr lang="en-US"/>
              <a:t>x)= ax + b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задача1!$A$1:$K$1</c:f>
              <c:numCache>
                <c:formatCode>General</c:formatCode>
                <c:ptCount val="11"/>
                <c:pt idx="0">
                  <c:v>98.8</c:v>
                </c:pt>
                <c:pt idx="1">
                  <c:v>98.9</c:v>
                </c:pt>
                <c:pt idx="2">
                  <c:v>99</c:v>
                </c:pt>
                <c:pt idx="3">
                  <c:v>99.1</c:v>
                </c:pt>
                <c:pt idx="4">
                  <c:v>99.2</c:v>
                </c:pt>
                <c:pt idx="5">
                  <c:v>99.3</c:v>
                </c:pt>
                <c:pt idx="6">
                  <c:v>99.4</c:v>
                </c:pt>
                <c:pt idx="7">
                  <c:v>99.5</c:v>
                </c:pt>
                <c:pt idx="8">
                  <c:v>99.6</c:v>
                </c:pt>
                <c:pt idx="9">
                  <c:v>99.7</c:v>
                </c:pt>
                <c:pt idx="10">
                  <c:v>99.8</c:v>
                </c:pt>
              </c:numCache>
            </c:numRef>
          </c:xVal>
          <c:yVal>
            <c:numRef>
              <c:f>задача1!$A$2:$K$2</c:f>
              <c:numCache>
                <c:formatCode>General</c:formatCode>
                <c:ptCount val="11"/>
                <c:pt idx="0">
                  <c:v>87.1</c:v>
                </c:pt>
                <c:pt idx="1">
                  <c:v>86.1</c:v>
                </c:pt>
                <c:pt idx="2">
                  <c:v>86.4</c:v>
                </c:pt>
                <c:pt idx="3">
                  <c:v>87.3</c:v>
                </c:pt>
                <c:pt idx="4">
                  <c:v>86.1</c:v>
                </c:pt>
                <c:pt idx="5">
                  <c:v>86.8</c:v>
                </c:pt>
                <c:pt idx="6">
                  <c:v>87.2</c:v>
                </c:pt>
                <c:pt idx="7">
                  <c:v>88.4</c:v>
                </c:pt>
                <c:pt idx="8">
                  <c:v>87.2</c:v>
                </c:pt>
                <c:pt idx="9">
                  <c:v>86.4</c:v>
                </c:pt>
                <c:pt idx="10">
                  <c:v>88.6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787639816"/>
        <c:axId val="1787659784"/>
      </c:scatterChart>
      <c:valAx>
        <c:axId val="1787639816"/>
        <c:scaling>
          <c:orientation val="minMax"/>
          <c:max val="99.900000"/>
          <c:min val="98.7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59784"/>
        <c:crosses val="autoZero"/>
        <c:crossBetween val="midCat"/>
      </c:valAx>
      <c:valAx>
        <c:axId val="178765978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39816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трендовая модель для определения будущей экологической обстановки</a:t>
            </a:r>
            <a:endParaRPr/>
          </a:p>
        </c:rich>
      </c:tx>
      <c:layout>
        <c:manualLayout>
          <c:x val="0.000000"/>
          <c:y val="-0.00382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задача2!$A$1:$A$16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задача2!$B$1:$B$16</c:f>
              <c:numCache>
                <c:formatCode>General</c:formatCode>
                <c:ptCount val="16"/>
                <c:pt idx="0">
                  <c:v>6.96</c:v>
                </c:pt>
                <c:pt idx="1">
                  <c:v>7.21</c:v>
                </c:pt>
                <c:pt idx="2">
                  <c:v>7.33</c:v>
                </c:pt>
                <c:pt idx="3">
                  <c:v>7.11</c:v>
                </c:pt>
                <c:pt idx="4">
                  <c:v>6.99</c:v>
                </c:pt>
                <c:pt idx="5">
                  <c:v>7.6</c:v>
                </c:pt>
                <c:pt idx="6">
                  <c:v>8.66</c:v>
                </c:pt>
                <c:pt idx="7">
                  <c:v>9.28</c:v>
                </c:pt>
                <c:pt idx="8">
                  <c:v>11.15</c:v>
                </c:pt>
                <c:pt idx="9">
                  <c:v>11.48</c:v>
                </c:pt>
                <c:pt idx="10">
                  <c:v>11.49</c:v>
                </c:pt>
                <c:pt idx="11">
                  <c:v>12.33</c:v>
                </c:pt>
                <c:pt idx="12">
                  <c:v>12.74</c:v>
                </c:pt>
                <c:pt idx="13">
                  <c:v>13.26</c:v>
                </c:pt>
                <c:pt idx="14">
                  <c:v>13.54</c:v>
                </c:pt>
                <c:pt idx="15">
                  <c:v>13.95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584266248"/>
        <c:axId val="584269320"/>
      </c:scatterChart>
      <c:valAx>
        <c:axId val="584266248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9320"/>
        <c:crosses val="autoZero"/>
        <c:crossBetween val="midCat"/>
      </c:valAx>
      <c:valAx>
        <c:axId val="58426932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6248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600075</xdr:colOff>
      <xdr:row>8</xdr:row>
      <xdr:rowOff>0</xdr:rowOff>
    </xdr:from>
    <xdr:to>
      <xdr:col>13</xdr:col>
      <xdr:colOff>295274</xdr:colOff>
      <xdr:row>22</xdr:row>
      <xdr:rowOff>57150</xdr:rowOff>
    </xdr:to>
    <xdr:graphicFrame>
      <xdr:nvGraphicFramePr>
        <xdr:cNvPr id="9" name="Диаграмма 8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447675</xdr:colOff>
      <xdr:row>2</xdr:row>
      <xdr:rowOff>9525</xdr:rowOff>
    </xdr:from>
    <xdr:to>
      <xdr:col>10</xdr:col>
      <xdr:colOff>590549</xdr:colOff>
      <xdr:row>16</xdr:row>
      <xdr:rowOff>152400</xdr:rowOff>
    </xdr:to>
    <xdr:graphicFrame>
      <xdr:nvGraphicFramePr>
        <xdr:cNvPr id="2" name="Диаграмма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11" activeCellId="0" sqref="N11"/>
    </sheetView>
  </sheetViews>
  <sheetFormatPr defaultRowHeight="14.25"/>
  <sheetData>
    <row r="1">
      <c r="A1">
        <v>98.799999999999997</v>
      </c>
      <c r="B1">
        <v>98.900000000000006</v>
      </c>
      <c r="C1">
        <v>99</v>
      </c>
      <c r="D1">
        <v>99.099999999999994</v>
      </c>
      <c r="E1">
        <v>99.200000000000003</v>
      </c>
      <c r="F1">
        <v>99.299999999999997</v>
      </c>
      <c r="G1">
        <v>99.400000000000006</v>
      </c>
      <c r="H1">
        <v>99.5</v>
      </c>
      <c r="I1">
        <v>99.599999999999994</v>
      </c>
      <c r="J1">
        <v>99.700000000000003</v>
      </c>
      <c r="K1">
        <v>99.799999999999997</v>
      </c>
    </row>
    <row r="2">
      <c r="A2">
        <v>87.099999999999994</v>
      </c>
      <c r="B2">
        <v>86.099999999999994</v>
      </c>
      <c r="C2">
        <v>86.400000000000006</v>
      </c>
      <c r="D2">
        <v>87.299999999999997</v>
      </c>
      <c r="E2">
        <v>86.099999999999994</v>
      </c>
      <c r="F2">
        <v>86.799999999999997</v>
      </c>
      <c r="G2">
        <v>87.200000000000003</v>
      </c>
      <c r="H2">
        <v>88.400000000000006</v>
      </c>
      <c r="I2">
        <v>87.200000000000003</v>
      </c>
      <c r="J2">
        <v>86.400000000000006</v>
      </c>
      <c r="K2">
        <v>88.599999999999994</v>
      </c>
    </row>
    <row r="3" ht="15">
      <c r="A3" s="1" t="s">
        <v>0</v>
      </c>
    </row>
    <row r="4">
      <c r="A4">
        <f>SUM(A1:K1)</f>
        <v>1092.3</v>
      </c>
    </row>
    <row r="5" ht="15">
      <c r="A5" s="1" t="s">
        <v>1</v>
      </c>
    </row>
    <row r="6">
      <c r="A6">
        <f>SUM(A2:K2)</f>
        <v>957.60000000000002</v>
      </c>
    </row>
    <row r="7" ht="15">
      <c r="A7" s="1" t="s">
        <v>2</v>
      </c>
    </row>
    <row r="8">
      <c r="A8">
        <f>SUMPRODUCT(A1:K1,A2:K2)</f>
        <v>95091.119999999995</v>
      </c>
    </row>
    <row r="9" ht="15">
      <c r="A9" s="1" t="s">
        <v>3</v>
      </c>
    </row>
    <row r="10">
      <c r="A10">
        <f>SUMX2PY2(A1:K1,A2:K2)</f>
        <v>191836.96999999997</v>
      </c>
    </row>
    <row r="11" ht="15">
      <c r="A11" s="1" t="s">
        <v>4</v>
      </c>
    </row>
    <row r="12">
      <c r="A12" t="s">
        <v>5</v>
      </c>
      <c r="B12">
        <f>(COUNT(A1:K1)*SUMPRODUCT(A1:K1, A2:K2)-SUM(A1:K1)*SUM(A2:K2))/(COUNT(A1:K1)*SUMSQ(A1:K1)-SUM(A1:K1)^2)</f>
        <v>1.3090909090781393</v>
      </c>
      <c r="C12" t="s">
        <v>6</v>
      </c>
      <c r="D12">
        <f>(SUM(A2:K2)-B12*SUM(A1:K1))/COUNT(A1:K1)</f>
        <v>-42.938181816913783</v>
      </c>
    </row>
    <row r="13">
      <c r="B13">
        <f>SLOPE(A2:K2, A1:K1)</f>
        <v>1.3090909090909042</v>
      </c>
      <c r="D13">
        <f>INTERCEPT(A2:K2, A1:K1)</f>
        <v>-42.938181818181334</v>
      </c>
    </row>
    <row r="15">
      <c r="A15">
        <f t="array" ref="A15:B15">LINEST(A2:K2, A1:K1)</f>
        <v>1.3090909090909042</v>
      </c>
      <c r="B15">
        <f/>
        <v>-42.938181818181334</v>
      </c>
    </row>
    <row r="17">
      <c r="A17" t="s">
        <v>7</v>
      </c>
    </row>
    <row r="18">
      <c r="A18">
        <f>B12*87+D12</f>
        <v>70.952727272884331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9" activeCellId="0" sqref="M9"/>
    </sheetView>
  </sheetViews>
  <sheetFormatPr defaultRowHeight="14.25"/>
  <sheetData>
    <row r="1">
      <c r="A1">
        <v>1</v>
      </c>
      <c r="B1">
        <v>6.96</v>
      </c>
    </row>
    <row r="2">
      <c r="A2">
        <v>2</v>
      </c>
      <c r="B2">
        <v>7.21</v>
      </c>
    </row>
    <row r="3">
      <c r="A3">
        <v>3</v>
      </c>
      <c r="B3">
        <v>7.3300000000000001</v>
      </c>
    </row>
    <row r="4">
      <c r="A4">
        <v>4</v>
      </c>
      <c r="B4">
        <v>7.1100000000000003</v>
      </c>
    </row>
    <row r="5">
      <c r="A5">
        <v>5</v>
      </c>
      <c r="B5">
        <v>6.9900000000000002</v>
      </c>
    </row>
    <row r="6">
      <c r="A6">
        <v>6</v>
      </c>
      <c r="B6">
        <v>7.5999999999999996</v>
      </c>
    </row>
    <row r="7">
      <c r="A7">
        <v>7</v>
      </c>
      <c r="B7">
        <v>8.6600000000000001</v>
      </c>
    </row>
    <row r="8">
      <c r="A8">
        <v>8</v>
      </c>
      <c r="B8">
        <v>9.2799999999999994</v>
      </c>
    </row>
    <row r="9">
      <c r="A9">
        <v>9</v>
      </c>
      <c r="B9">
        <v>11.15</v>
      </c>
    </row>
    <row r="10">
      <c r="A10">
        <v>10</v>
      </c>
      <c r="B10">
        <v>11.48</v>
      </c>
    </row>
    <row r="11">
      <c r="A11">
        <v>11</v>
      </c>
      <c r="B11">
        <v>11.49</v>
      </c>
    </row>
    <row r="12">
      <c r="A12">
        <v>12</v>
      </c>
      <c r="B12">
        <v>12.33</v>
      </c>
    </row>
    <row r="13">
      <c r="A13">
        <v>13</v>
      </c>
      <c r="B13">
        <v>12.74</v>
      </c>
    </row>
    <row r="14">
      <c r="A14">
        <v>14</v>
      </c>
      <c r="B14">
        <v>13.26</v>
      </c>
    </row>
    <row r="15">
      <c r="A15">
        <v>15</v>
      </c>
      <c r="B15">
        <v>13.539999999999999</v>
      </c>
    </row>
    <row r="16">
      <c r="A16">
        <v>16</v>
      </c>
      <c r="B16">
        <v>13.949999999999999</v>
      </c>
    </row>
    <row r="19">
      <c r="A19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/>
  <HyperlinkBase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Влад Либерт</cp:lastModifiedBy>
  <cp:revision>1</cp:revision>
  <dcterms:created xsi:type="dcterms:W3CDTF">2024-05-13T18:06:50Z</dcterms:created>
  <dcterms:modified xsi:type="dcterms:W3CDTF">2024-05-13T19:21:55Z</dcterms:modified>
  <cp:category/>
  <cp:contentStatus/>
</cp:coreProperties>
</file>