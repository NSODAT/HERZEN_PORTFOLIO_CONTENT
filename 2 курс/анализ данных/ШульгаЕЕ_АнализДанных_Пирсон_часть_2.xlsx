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Users\eugen\OneDrive\Рабочий стол\"/>
    </mc:Choice>
  </mc:AlternateContent>
  <xr:revisionPtr revIDLastSave="0" documentId="13_ncr:1_{F8284225-FE0E-4151-BD30-E2CBCF5A75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задание1" sheetId="1" r:id="rId1"/>
    <sheet name="задание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E10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<sst xmlns="http://schemas.openxmlformats.org/spreadsheetml/2006/main" count="38" uniqueCount="32">
  <si>
    <t>Номер</t>
  </si>
  <si>
    <t>X (качество пашни)</t>
  </si>
  <si>
    <t>Y (кол-во удобрений)</t>
  </si>
  <si>
    <t>Z (урожайность)</t>
  </si>
  <si>
    <t>18.0</t>
  </si>
  <si>
    <t>21.0</t>
  </si>
  <si>
    <t>28.0</t>
  </si>
  <si>
    <t>3.0</t>
  </si>
  <si>
    <t>сумма произв</t>
  </si>
  <si>
    <t>сумма квадратов</t>
  </si>
  <si>
    <t>коэф пир</t>
  </si>
  <si>
    <t>−0.9335</t>
  </si>
  <si>
    <t>Z (прибыль, тыс. усл. ед.)</t>
  </si>
  <si>
    <t>X (расходы на рекламу, тыс. усл. ед.)</t>
  </si>
  <si>
    <t>Y (вложение капитала, тыс. усл. ед.)</t>
  </si>
  <si>
    <t>0.2</t>
  </si>
  <si>
    <t>0.8</t>
  </si>
  <si>
    <t>0.5</t>
  </si>
  <si>
    <t>0.3</t>
  </si>
  <si>
    <t>1.0</t>
  </si>
  <si>
    <t>0.9</t>
  </si>
  <si>
    <t>0.6</t>
  </si>
  <si>
    <t>Xˉ=0.4714</t>
  </si>
  <si>
    <t>Yˉ=0.7643\bar{Y} = 0.7643Yˉ=0.7643</t>
  </si>
  <si>
    <t>Zˉ=14.4286\bar{Z} = 14.4286Zˉ=14.4286</t>
  </si>
  <si>
    <t>∑XY=4.28\sum{XY} = 4.28∑XY=4.28</t>
  </si>
  <si>
    <t>∑XZ=204.5\sum{XZ} = 204.5∑XZ=204.5</t>
  </si>
  <si>
    <t>∑YZ=12.66\sum{YZ} = 12.66∑YZ=12.66</t>
  </si>
  <si>
    <t>∑X2=0.2597\sum{X^2} = 0.2597∑X2=0.2597</t>
  </si>
  <si>
    <t>∑Y2=0.3052\sum{Y^2} = 0.3052∑Y2=0.3052</t>
  </si>
  <si>
    <t>∑Z2=238.23\sum{Z^2} = 238.23∑Z2=238.23</t>
  </si>
  <si>
    <t>R≈−0.9603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</si>
</sst>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E13" sqref="E13"/>
    </sheetView>
  </sheetViews>
  <sheetFormatPr defaultRowHeight="14.4" x14ac:dyDescent="0.3"/>
  <sheetData>
    <row r="1" spans="1:15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6">
        <v>1</v>
      </c>
      <c r="B2" s="6">
        <v>26</v>
      </c>
      <c r="C2" s="6">
        <v>2.1</v>
      </c>
      <c r="D2" s="6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6">
        <v>2</v>
      </c>
      <c r="B3" s="6">
        <v>35</v>
      </c>
      <c r="C3" s="6">
        <v>2.2999999999999998</v>
      </c>
      <c r="D3" s="6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6">
        <v>3</v>
      </c>
      <c r="B4" s="6">
        <v>36</v>
      </c>
      <c r="C4" s="6">
        <v>2.4</v>
      </c>
      <c r="D4" s="6">
        <v>22.1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">
      <c r="A5" s="6">
        <v>4</v>
      </c>
      <c r="B5" s="6">
        <v>40</v>
      </c>
      <c r="C5" s="6">
        <v>2.6</v>
      </c>
      <c r="D5" s="6">
        <v>25.3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s="6">
        <v>5</v>
      </c>
      <c r="B6" s="6">
        <v>41</v>
      </c>
      <c r="C6" s="6">
        <v>2.9</v>
      </c>
      <c r="D6" s="6" t="s">
        <v>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">
      <c r="A7" s="6">
        <v>6</v>
      </c>
      <c r="B7" s="6">
        <v>45</v>
      </c>
      <c r="C7" s="6" t="s">
        <v>7</v>
      </c>
      <c r="D7" s="6">
        <v>28.5</v>
      </c>
      <c r="E7" s="5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/>
      <c r="B8" s="5">
        <f>AVERAGE(B2:B7)</f>
        <v>37.166666666666664</v>
      </c>
      <c r="C8" s="5">
        <f>AVERAGE(C2:C7)</f>
        <v>2.46</v>
      </c>
      <c r="D8" s="5">
        <f>AVERAGE(D2:D7)</f>
        <v>25.3</v>
      </c>
      <c r="E8" s="5">
        <f>SUMPRODUCT(B2:B7,C2:C7)</f>
        <v>444.4</v>
      </c>
      <c r="F8" s="5">
        <f>SUMPRODUCT(B2:B7,D2:D7)</f>
        <v>3090.1</v>
      </c>
      <c r="G8" s="5">
        <f>SUMPRODUCT(C2:C7,D2:D7)</f>
        <v>118.82</v>
      </c>
      <c r="H8" s="5">
        <v>8503</v>
      </c>
      <c r="I8" s="5">
        <v>30.63</v>
      </c>
      <c r="J8" s="5">
        <v>1940.75</v>
      </c>
      <c r="K8" s="5"/>
      <c r="L8" s="5"/>
      <c r="M8" s="5"/>
    </row>
    <row r="9" spans="1:15" x14ac:dyDescent="0.3">
      <c r="A9" s="5"/>
      <c r="B9" s="5"/>
      <c r="C9" s="5"/>
      <c r="D9" s="5"/>
      <c r="E9" s="5" t="s">
        <v>9</v>
      </c>
      <c r="F9" s="5"/>
      <c r="G9" s="5"/>
      <c r="H9" s="5"/>
      <c r="I9" s="5"/>
      <c r="J9" s="5"/>
      <c r="K9" s="5"/>
      <c r="L9" s="5"/>
      <c r="M9" s="5"/>
    </row>
    <row r="10" spans="1:15" x14ac:dyDescent="0.3">
      <c r="A10" s="5"/>
      <c r="B10" s="5"/>
      <c r="C10" s="5"/>
      <c r="D10" s="5"/>
      <c r="E10" s="5">
        <f>SUMSQ(B2:B7)</f>
        <v>8503</v>
      </c>
      <c r="F10" s="5">
        <f>SUMSQ(C2:C7)</f>
        <v>30.63</v>
      </c>
      <c r="G10" s="5">
        <f>SUMSQ(D2:D7)</f>
        <v>1940.75</v>
      </c>
      <c r="H10" s="5"/>
      <c r="I10" s="5"/>
      <c r="J10" s="5"/>
      <c r="K10" s="5"/>
      <c r="L10" s="5"/>
      <c r="M10" s="5"/>
    </row>
    <row r="11" spans="1:15" x14ac:dyDescent="0.3">
      <c r="A11" s="5"/>
      <c r="B11" s="5"/>
      <c r="C11" s="5"/>
      <c r="D11" s="5"/>
      <c r="E11" s="5" t="s">
        <v>10</v>
      </c>
      <c r="F11" s="5"/>
      <c r="G11" s="5"/>
      <c r="H11" s="5"/>
      <c r="I11" s="5"/>
      <c r="J11" s="5"/>
      <c r="K11" s="5"/>
      <c r="L11" s="5"/>
      <c r="M11" s="5"/>
    </row>
    <row r="12" spans="1:15" x14ac:dyDescent="0.3">
      <c r="A12" s="5"/>
      <c r="B12" s="5"/>
      <c r="C12" s="5"/>
      <c r="D12" s="5"/>
      <c r="E12" s="5" t="s">
        <v>11</v>
      </c>
      <c r="F12" s="5"/>
      <c r="G12" s="5"/>
      <c r="H12" s="5"/>
      <c r="I12" s="5"/>
      <c r="J12" s="5"/>
      <c r="K12" s="5"/>
      <c r="L12" s="5"/>
      <c r="M12" s="5"/>
    </row>
    <row r="13" spans="1:1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2AE5-6294-4504-9636-B569EF5AD343}">
  <dimension ref="A1:D20"/>
  <sheetViews>
    <sheetView tabSelected="1" workbookViewId="0">
      <selection activeCell="L7" sqref="L7"/>
    </sheetView>
  </sheetViews>
  <sheetFormatPr defaultRowHeight="14.4" x14ac:dyDescent="0.3"/>
  <sheetData>
    <row r="1" spans="1:4" ht="86.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2">
        <v>1</v>
      </c>
      <c r="B2" s="2">
        <v>10</v>
      </c>
      <c r="C2" s="2" t="s">
        <v>15</v>
      </c>
      <c r="D2" s="2" t="s">
        <v>16</v>
      </c>
    </row>
    <row r="3" spans="1:4" x14ac:dyDescent="0.3">
      <c r="A3" s="2">
        <v>2</v>
      </c>
      <c r="B3" s="2">
        <v>12</v>
      </c>
      <c r="C3" s="2" t="s">
        <v>17</v>
      </c>
      <c r="D3" s="2" t="s">
        <v>15</v>
      </c>
    </row>
    <row r="4" spans="1:4" x14ac:dyDescent="0.3">
      <c r="A4" s="2">
        <v>3</v>
      </c>
      <c r="B4" s="2">
        <v>12</v>
      </c>
      <c r="C4" s="2" t="s">
        <v>18</v>
      </c>
      <c r="D4" s="2" t="s">
        <v>19</v>
      </c>
    </row>
    <row r="5" spans="1:4" x14ac:dyDescent="0.3">
      <c r="A5" s="2">
        <v>4</v>
      </c>
      <c r="B5" s="2">
        <v>14</v>
      </c>
      <c r="C5" s="2" t="s">
        <v>17</v>
      </c>
      <c r="D5" s="3">
        <v>45323</v>
      </c>
    </row>
    <row r="6" spans="1:4" x14ac:dyDescent="0.3">
      <c r="A6" s="2">
        <v>5</v>
      </c>
      <c r="B6" s="2">
        <v>16</v>
      </c>
      <c r="C6" s="2" t="s">
        <v>17</v>
      </c>
      <c r="D6" s="2" t="s">
        <v>20</v>
      </c>
    </row>
    <row r="7" spans="1:4" x14ac:dyDescent="0.3">
      <c r="A7" s="2">
        <v>6</v>
      </c>
      <c r="B7" s="2">
        <v>17</v>
      </c>
      <c r="C7" s="2" t="s">
        <v>21</v>
      </c>
      <c r="D7" s="2" t="s">
        <v>19</v>
      </c>
    </row>
    <row r="8" spans="1:4" x14ac:dyDescent="0.3">
      <c r="A8" s="2">
        <v>7</v>
      </c>
      <c r="B8" s="2">
        <v>18</v>
      </c>
      <c r="C8" s="2" t="s">
        <v>16</v>
      </c>
      <c r="D8" s="3">
        <v>45292</v>
      </c>
    </row>
    <row r="10" spans="1:4" x14ac:dyDescent="0.3">
      <c r="D10" t="s">
        <v>22</v>
      </c>
    </row>
    <row r="11" spans="1:4" x14ac:dyDescent="0.3">
      <c r="D11" t="s">
        <v>23</v>
      </c>
    </row>
    <row r="12" spans="1:4" x14ac:dyDescent="0.3">
      <c r="D12" t="s">
        <v>24</v>
      </c>
    </row>
    <row r="13" spans="1:4" x14ac:dyDescent="0.3">
      <c r="D13" t="s">
        <v>25</v>
      </c>
    </row>
    <row r="14" spans="1:4" x14ac:dyDescent="0.3">
      <c r="D14" t="s">
        <v>26</v>
      </c>
    </row>
    <row r="15" spans="1:4" x14ac:dyDescent="0.3">
      <c r="D15" t="s">
        <v>27</v>
      </c>
    </row>
    <row r="16" spans="1:4" x14ac:dyDescent="0.3">
      <c r="D16" t="s">
        <v>28</v>
      </c>
    </row>
    <row r="17" spans="4:4" x14ac:dyDescent="0.3">
      <c r="D17" t="s">
        <v>29</v>
      </c>
    </row>
    <row r="18" spans="4:4" x14ac:dyDescent="0.3">
      <c r="D18" t="s">
        <v>30</v>
      </c>
    </row>
    <row r="20" spans="4:4" x14ac:dyDescent="0.3">
      <c r="D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HORRUS TH</dc:creator>
  <cp:lastModifiedBy>HORRUS TH</cp:lastModifiedBy>
  <dcterms:created xsi:type="dcterms:W3CDTF">2015-06-05T18:19:34Z</dcterms:created>
  <dcterms:modified xsi:type="dcterms:W3CDTF">2024-06-03T00:03:34Z</dcterms:modified>
</cp:coreProperties>
</file>