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Z:\Users\eugen\OneDrive\Рабочий стол\"/>
    </mc:Choice>
  </mc:AlternateContent>
  <xr:revisionPtr revIDLastSave="0" documentId="13_ncr:1_{99D2AD7E-5B34-4105-9A82-63730F574FCE}" xr6:coauthVersionLast="47" xr6:coauthVersionMax="47" xr10:uidLastSave="{00000000-0000-0000-0000-000000000000}"/>
  <bookViews>
    <workbookView xWindow="5184" yWindow="1140" windowWidth="17280" windowHeight="8880" firstSheet="7" activeTab="8" xr2:uid="{00000000-000D-0000-FFFF-FFFF00000000}"/>
  </bookViews>
  <sheets>
    <sheet name="Задание1" sheetId="1" r:id="rId1"/>
    <sheet name="Задание2" sheetId="2" r:id="rId2"/>
    <sheet name="Задание3" sheetId="3" r:id="rId3"/>
    <sheet name="Задание 4" sheetId="4" r:id="rId4"/>
    <sheet name="Задание5" sheetId="5" r:id="rId5"/>
    <sheet name="Задание6" sheetId="6" r:id="rId6"/>
    <sheet name="Задание7" sheetId="7" r:id="rId7"/>
    <sheet name="Задание8" sheetId="8" r:id="rId8"/>
    <sheet name="Задание9"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C12" i="1"/>
  <c r="E8" i="1"/>
  <c r="C8" i="1"/>
  <c r="C6" i="1"/>
  <c r="E4" i="1"/>
  <c r="C4" i="1"/>
  <c r="C2" i="1"/>
</calcChain>
</file>

<file path=xl/sharedStrings.xml><?xml version="1.0" encoding="utf-8"?>
<sst xmlns="http://schemas.openxmlformats.org/spreadsheetml/2006/main" count="97" uniqueCount="76">
  <si>
    <t>Среднее значение</t>
  </si>
  <si>
    <t>Дисперсия и среднее квадратическое отклонение</t>
  </si>
  <si>
    <t>Коэффициент вариации</t>
  </si>
  <si>
    <t>Промежуток колебания плотности</t>
  </si>
  <si>
    <t>мин</t>
  </si>
  <si>
    <t>макс</t>
  </si>
  <si>
    <t>Коэффициент ассиметрии и эксцесс</t>
  </si>
  <si>
    <t>Нижняя граница интервала</t>
  </si>
  <si>
    <t>Верхняя граница интервала</t>
  </si>
  <si>
    <t>Число покупателей</t>
  </si>
  <si>
    <t>Доля покупателей</t>
  </si>
  <si>
    <t>0.163</t>
  </si>
  <si>
    <t>0.207</t>
  </si>
  <si>
    <t>0.272</t>
  </si>
  <si>
    <t>0.168</t>
  </si>
  <si>
    <t>0.120</t>
  </si>
  <si>
    <t>0.070</t>
  </si>
  <si>
    <t>границы выделены зеленым цветом</t>
  </si>
  <si>
    <t>самое большое число покупателей было в интервале 500-700</t>
  </si>
  <si>
    <t>Интервалы</t>
  </si>
  <si>
    <t>Число регионов</t>
  </si>
  <si>
    <t>до 60</t>
  </si>
  <si>
    <t>60-70</t>
  </si>
  <si>
    <t>70-80</t>
  </si>
  <si>
    <t>80-90</t>
  </si>
  <si>
    <t>90-100</t>
  </si>
  <si>
    <t>-</t>
  </si>
  <si>
    <t>свыше 100</t>
  </si>
  <si>
    <t>Начало первого интервала (до 60):</t>
  </si>
  <si>
    <t>Нижняя граница интервала "до 60" равна 0 (так как до 60), поэтому начало первого интервала равно 0.</t>
  </si>
  <si>
    <t>Правая граница последнего интервала (свыше 100):</t>
  </si>
  <si>
    <t>Верхняя граница интервала "свыше 100" равна бесконечности (так как свыше 100), поэтому правая граница последнего интервала равна бесконечности.</t>
  </si>
  <si>
    <r>
      <t>Количество интервалов zzz:</t>
    </r>
    <r>
      <rPr>
        <sz val="11"/>
        <color theme="1"/>
        <rFont val="Calibri"/>
        <family val="2"/>
        <scheme val="minor"/>
      </rPr>
      <t xml:space="preserve"> Количество интервалов можно выбирать вручную в зависимости от требований к анализу данных. В данной ситуации, можно начать с выбора, скажем, 5-6 интервалов для анализа.</t>
    </r>
  </si>
  <si>
    <r>
      <t>Длина интервала LLL:</t>
    </r>
    <r>
      <rPr>
        <sz val="11"/>
        <color theme="1"/>
        <rFont val="Calibri"/>
        <family val="2"/>
        <scheme val="minor"/>
      </rPr>
      <t xml:space="preserve"> Рассчитаем длину интервала, используя формулу:</t>
    </r>
  </si>
  <si>
    <t>Где разброс данных вычисляется как разность между максимальным и минимальным значениями в вашем вариационном ряду.</t>
  </si>
  <si>
    <t>Минимальное значение: 9 Максимальное значение: 27</t>
  </si>
  <si>
    <t>рассчитаем длину интервала для z=6:</t>
  </si>
  <si>
    <t>Разброс данных=27−9=18</t>
  </si>
  <si>
    <t>l=</t>
  </si>
  <si>
    <t>Таким образом, длина интервала LLL равна 3.</t>
  </si>
  <si>
    <t>Задача:</t>
  </si>
  <si>
    <t>вычислить оптимальную длину интервала по формуле Стеджерса для данных из задания 1</t>
  </si>
  <si>
    <t>Число продаж</t>
  </si>
  <si>
    <t>Частота</t>
  </si>
  <si>
    <t>Накопленная частота</t>
  </si>
  <si>
    <t>12, 14, 14</t>
  </si>
  <si>
    <t>15-18</t>
  </si>
  <si>
    <t>15, 15, 15, 15, 15, 15, 16, 16, 16, 17</t>
  </si>
  <si>
    <t>18-21</t>
  </si>
  <si>
    <t>19, 21</t>
  </si>
  <si>
    <t>21-24</t>
  </si>
  <si>
    <t>24-27</t>
  </si>
  <si>
    <t>Накопленная частота (восходящий порядок)</t>
  </si>
  <si>
    <t>Накопленная частота (исходящий порядок)</t>
  </si>
  <si>
    <t>Накопленные частоты являются важным инструментом при анализе данных и позволяют более детально оценить распределение значений в интервалах. Они влияют на анализ данных следующим образом:</t>
  </si>
  <si>
    <r>
      <t>1. Определение относительной частоты:</t>
    </r>
    <r>
      <rPr>
        <sz val="11"/>
        <color theme="1"/>
        <rFont val="Calibri"/>
        <family val="2"/>
        <scheme val="minor"/>
      </rPr>
      <t xml:space="preserve"> Накопленная частота показывает, какую долю от общего числа наблюдений составляет данное значение или интервал. Это позволяет сравнивать относительную частоту различных интервалов и делать выводы о распределении данных.</t>
    </r>
  </si>
  <si>
    <r>
      <t>2. Выявление экстремальных значений:</t>
    </r>
    <r>
      <rPr>
        <sz val="11"/>
        <color theme="1"/>
        <rFont val="Calibri"/>
        <family val="2"/>
        <scheme val="minor"/>
      </rPr>
      <t xml:space="preserve"> При анализе данных с помощью накопленных частот можно легче выявить экстремальные значения, то есть значения, которые сильно отличаются от среднего или типичного значения. Например, если накопленная частота для определенного интервала сильно отличается от частоты других интервалов, это может указывать на наличие выбросов или аномалий в данных.</t>
    </r>
  </si>
  <si>
    <r>
      <t>3. Оценка центральной тенденции:</t>
    </r>
    <r>
      <rPr>
        <sz val="11"/>
        <color theme="1"/>
        <rFont val="Calibri"/>
        <family val="2"/>
        <scheme val="minor"/>
      </rPr>
      <t xml:space="preserve"> Накопленные частоты могут помочь оценить центральную тенденцию данных. Например, если накопленная частота растет медленно, это может указывать на равномерное распределение значений. Если же накопленная частота резко возрастает или убывает, это может свидетельствовать о смещении центра распределения данных.</t>
    </r>
  </si>
  <si>
    <r>
      <t>4. Построение графиков:</t>
    </r>
    <r>
      <rPr>
        <sz val="11"/>
        <color theme="1"/>
        <rFont val="Calibri"/>
        <family val="2"/>
        <scheme val="minor"/>
      </rPr>
      <t xml:space="preserve"> Накопленные частоты часто используются для построения графиков, таких как огивы или кумулятивные графики распределения. Эти графики позволяют визуально представить распределение данных и выявить особенности его формы, например, наличие мод или асимметрии.</t>
    </r>
  </si>
  <si>
    <t>Построение графика полигона</t>
  </si>
  <si>
    <t>100-300</t>
  </si>
  <si>
    <t>300-500</t>
  </si>
  <si>
    <t>500-700</t>
  </si>
  <si>
    <t>интервал</t>
  </si>
  <si>
    <t>700-900</t>
  </si>
  <si>
    <t>900-1100</t>
  </si>
  <si>
    <t>1100-1300</t>
  </si>
  <si>
    <t>накопленные частоты</t>
  </si>
  <si>
    <t>.6.75</t>
  </si>
  <si>
    <t>.10.25</t>
  </si>
  <si>
    <t>.22.9</t>
  </si>
  <si>
    <t>25й проц</t>
  </si>
  <si>
    <t>50й проц</t>
  </si>
  <si>
    <t>90й проц</t>
  </si>
  <si>
    <t>Интервалы расходов: 100-300, 300-500, 500-700, 700-900, 900-1100, 1100-1300</t>
  </si>
  <si>
    <t xml:space="preserve"> Число покупателей: 30, 38, 50, 31, 22,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</si>
</sst>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1" fillId="0" borderId="0" xfId="0" applyFont="1"/>
    <xf numFmtId="0" fontId="0" fillId="0" borderId="0" xfId="0" applyAlignment="1">
      <alignment horizontal="left" vertical="center" indent="1"/>
    </xf>
    <xf numFmtId="0" fontId="0" fillId="3" borderId="0" xfId="0" applyFill="1"/>
    <xf numFmtId="16" fontId="0" fillId="0" borderId="0" xfId="0" applyNumberFormat="1" applyAlignment="1">
      <alignment vertical="center" wrapText="1"/>
    </xf>
    <xf numFmtId="17" fontId="0" fillId="0" borderId="0" xfId="0" applyNumberFormat="1"/>
    <xf numFmtId="17" fontId="0" fillId="0" borderId="0" xfId="0" applyNumberFormat="1" applyAlignment="1">
      <alignment vertical="center" wrapText="1"/>
    </xf>
    <xf numFmtId="0" fontId="1" fillId="0" borderId="0" xfId="0" applyFont="1" applyAlignment="1">
      <alignment horizontal="left" vertical="center" indent="1"/>
    </xf>
    <xf numFmtId="2"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Полигон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Задание6!$A$2:$A$12</c:f>
              <c:numCache>
                <c:formatCode>General</c:formatCode>
                <c:ptCount val="11"/>
                <c:pt idx="0">
                  <c:v>9</c:v>
                </c:pt>
                <c:pt idx="1">
                  <c:v>12</c:v>
                </c:pt>
                <c:pt idx="2">
                  <c:v>13</c:v>
                </c:pt>
                <c:pt idx="3">
                  <c:v>14</c:v>
                </c:pt>
                <c:pt idx="4">
                  <c:v>15</c:v>
                </c:pt>
                <c:pt idx="5">
                  <c:v>16</c:v>
                </c:pt>
                <c:pt idx="6">
                  <c:v>17</c:v>
                </c:pt>
                <c:pt idx="7">
                  <c:v>19</c:v>
                </c:pt>
                <c:pt idx="8">
                  <c:v>21</c:v>
                </c:pt>
                <c:pt idx="9">
                  <c:v>23</c:v>
                </c:pt>
                <c:pt idx="10">
                  <c:v>27</c:v>
                </c:pt>
              </c:numCache>
            </c:numRef>
          </c:xVal>
          <c:yVal>
            <c:numRef>
              <c:f>Задание6!$B$2:$B$12</c:f>
              <c:numCache>
                <c:formatCode>General</c:formatCode>
                <c:ptCount val="11"/>
                <c:pt idx="0">
                  <c:v>1</c:v>
                </c:pt>
                <c:pt idx="1">
                  <c:v>2</c:v>
                </c:pt>
                <c:pt idx="2">
                  <c:v>1</c:v>
                </c:pt>
                <c:pt idx="3">
                  <c:v>5</c:v>
                </c:pt>
                <c:pt idx="4">
                  <c:v>6</c:v>
                </c:pt>
                <c:pt idx="5">
                  <c:v>5</c:v>
                </c:pt>
                <c:pt idx="6">
                  <c:v>2</c:v>
                </c:pt>
                <c:pt idx="7">
                  <c:v>1</c:v>
                </c:pt>
                <c:pt idx="8">
                  <c:v>1</c:v>
                </c:pt>
                <c:pt idx="9">
                  <c:v>1</c:v>
                </c:pt>
                <c:pt idx="10">
                  <c:v>1</c:v>
                </c:pt>
              </c:numCache>
            </c:numRef>
          </c:yVal>
          <c:smooth val="1"/>
          <c:extLst>
            <c:ext xmlns:c16="http://schemas.microsoft.com/office/drawing/2014/chart" uri="{C3380CC4-5D6E-409C-BE32-E72D297353CC}">
              <c16:uniqueId val="{00000000-2065-449C-B63C-C1B76ADE6753}"/>
            </c:ext>
          </c:extLst>
        </c:ser>
        <c:dLbls>
          <c:showLegendKey val="0"/>
          <c:showVal val="0"/>
          <c:showCatName val="0"/>
          <c:showSerName val="0"/>
          <c:showPercent val="0"/>
          <c:showBubbleSize val="0"/>
        </c:dLbls>
        <c:axId val="964881647"/>
        <c:axId val="964882063"/>
      </c:scatterChart>
      <c:valAx>
        <c:axId val="96488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4882063"/>
        <c:crosses val="autoZero"/>
        <c:crossBetween val="midCat"/>
      </c:valAx>
      <c:valAx>
        <c:axId val="96488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48816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Гистограмма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cat>
            <c:strRef>
              <c:f>Задание7!$A$2:$A$7</c:f>
              <c:strCache>
                <c:ptCount val="6"/>
                <c:pt idx="0">
                  <c:v>100-300</c:v>
                </c:pt>
                <c:pt idx="1">
                  <c:v>300-500</c:v>
                </c:pt>
                <c:pt idx="2">
                  <c:v>500-700</c:v>
                </c:pt>
                <c:pt idx="3">
                  <c:v>700-900</c:v>
                </c:pt>
                <c:pt idx="4">
                  <c:v>900-1100</c:v>
                </c:pt>
                <c:pt idx="5">
                  <c:v>1100-1300</c:v>
                </c:pt>
              </c:strCache>
            </c:strRef>
          </c:cat>
          <c:val>
            <c:numRef>
              <c:f>Задание7!$B$2:$B$7</c:f>
              <c:numCache>
                <c:formatCode>General</c:formatCode>
                <c:ptCount val="6"/>
                <c:pt idx="0">
                  <c:v>30</c:v>
                </c:pt>
                <c:pt idx="1">
                  <c:v>38</c:v>
                </c:pt>
                <c:pt idx="2">
                  <c:v>50</c:v>
                </c:pt>
                <c:pt idx="3">
                  <c:v>31</c:v>
                </c:pt>
                <c:pt idx="4">
                  <c:v>22</c:v>
                </c:pt>
                <c:pt idx="5">
                  <c:v>13</c:v>
                </c:pt>
              </c:numCache>
            </c:numRef>
          </c:val>
          <c:extLst>
            <c:ext xmlns:c16="http://schemas.microsoft.com/office/drawing/2014/chart" uri="{C3380CC4-5D6E-409C-BE32-E72D297353CC}">
              <c16:uniqueId val="{00000000-E29D-4E3E-844B-4F230FB6C239}"/>
            </c:ext>
          </c:extLst>
        </c:ser>
        <c:dLbls>
          <c:showLegendKey val="0"/>
          <c:showVal val="0"/>
          <c:showCatName val="0"/>
          <c:showSerName val="0"/>
          <c:showPercent val="0"/>
          <c:showBubbleSize val="0"/>
        </c:dLbls>
        <c:gapWidth val="219"/>
        <c:overlap val="-27"/>
        <c:axId val="964899759"/>
        <c:axId val="964898927"/>
      </c:barChart>
      <c:catAx>
        <c:axId val="9648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4898927"/>
        <c:crosses val="autoZero"/>
        <c:auto val="1"/>
        <c:lblAlgn val="ctr"/>
        <c:lblOffset val="100"/>
        <c:noMultiLvlLbl val="0"/>
      </c:catAx>
      <c:valAx>
        <c:axId val="96489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489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кумулянта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spPr>
            <a:ln w="28575" cap="rnd">
              <a:solidFill>
                <a:schemeClr val="accent1"/>
              </a:solidFill>
              <a:round/>
            </a:ln>
            <a:effectLst/>
          </c:spPr>
          <c:marker>
            <c:symbol val="none"/>
          </c:marker>
          <c:cat>
            <c:strRef>
              <c:f>Задание7!$A$2:$A$7</c:f>
              <c:strCache>
                <c:ptCount val="6"/>
                <c:pt idx="0">
                  <c:v>100-300</c:v>
                </c:pt>
                <c:pt idx="1">
                  <c:v>300-500</c:v>
                </c:pt>
                <c:pt idx="2">
                  <c:v>500-700</c:v>
                </c:pt>
                <c:pt idx="3">
                  <c:v>700-900</c:v>
                </c:pt>
                <c:pt idx="4">
                  <c:v>900-1100</c:v>
                </c:pt>
                <c:pt idx="5">
                  <c:v>1100-1300</c:v>
                </c:pt>
              </c:strCache>
            </c:strRef>
          </c:cat>
          <c:val>
            <c:numRef>
              <c:f>Задание7!$D$2:$D$7</c:f>
              <c:numCache>
                <c:formatCode>General</c:formatCode>
                <c:ptCount val="6"/>
                <c:pt idx="0">
                  <c:v>30</c:v>
                </c:pt>
                <c:pt idx="1">
                  <c:v>68</c:v>
                </c:pt>
                <c:pt idx="2">
                  <c:v>118</c:v>
                </c:pt>
                <c:pt idx="3">
                  <c:v>149</c:v>
                </c:pt>
                <c:pt idx="4">
                  <c:v>171</c:v>
                </c:pt>
                <c:pt idx="5">
                  <c:v>184</c:v>
                </c:pt>
              </c:numCache>
            </c:numRef>
          </c:val>
          <c:smooth val="0"/>
          <c:extLst>
            <c:ext xmlns:c16="http://schemas.microsoft.com/office/drawing/2014/chart" uri="{C3380CC4-5D6E-409C-BE32-E72D297353CC}">
              <c16:uniqueId val="{00000000-B5FC-4FE0-AEC7-8C5FC70B9BB1}"/>
            </c:ext>
          </c:extLst>
        </c:ser>
        <c:dLbls>
          <c:showLegendKey val="0"/>
          <c:showVal val="0"/>
          <c:showCatName val="0"/>
          <c:showSerName val="0"/>
          <c:showPercent val="0"/>
          <c:showBubbleSize val="0"/>
        </c:dLbls>
        <c:smooth val="0"/>
        <c:axId val="962796175"/>
        <c:axId val="962794511"/>
      </c:lineChart>
      <c:catAx>
        <c:axId val="96279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2794511"/>
        <c:crosses val="autoZero"/>
        <c:auto val="1"/>
        <c:lblAlgn val="ctr"/>
        <c:lblOffset val="100"/>
        <c:noMultiLvlLbl val="0"/>
      </c:catAx>
      <c:valAx>
        <c:axId val="96279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6279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3</xdr:row>
      <xdr:rowOff>53340</xdr:rowOff>
    </xdr:from>
    <xdr:to>
      <xdr:col>3</xdr:col>
      <xdr:colOff>22636</xdr:colOff>
      <xdr:row>5</xdr:row>
      <xdr:rowOff>97104</xdr:rowOff>
    </xdr:to>
    <xdr:pic>
      <xdr:nvPicPr>
        <xdr:cNvPr id="2" name="Рисунок 1">
          <a:extLst>
            <a:ext uri="{FF2B5EF4-FFF2-40B4-BE49-F238E27FC236}">
              <a16:creationId xmlns:a16="http://schemas.microsoft.com/office/drawing/2014/main" id="{FC165B46-5957-4601-8262-6EA5D92A48A2}"/>
            </a:ext>
          </a:extLst>
        </xdr:cNvPr>
        <xdr:cNvPicPr>
          <a:picLocks noChangeAspect="1"/>
        </xdr:cNvPicPr>
      </xdr:nvPicPr>
      <xdr:blipFill>
        <a:blip xmlns:r="http://schemas.openxmlformats.org/officeDocument/2006/relationships" r:embed="rId1"/>
        <a:stretch>
          <a:fillRect/>
        </a:stretch>
      </xdr:blipFill>
      <xdr:spPr>
        <a:xfrm>
          <a:off x="60960" y="601980"/>
          <a:ext cx="1790476" cy="4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Диаграмма 1">
          <a:extLst>
            <a:ext uri="{FF2B5EF4-FFF2-40B4-BE49-F238E27FC236}">
              <a16:creationId xmlns:a16="http://schemas.microsoft.com/office/drawing/2014/main" id="{A73CA505-8F0A-4BBD-BB1F-82D1A3F14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464820</xdr:colOff>
      <xdr:row>0</xdr:row>
      <xdr:rowOff>34290</xdr:rowOff>
    </xdr:from>
    <xdr:to>
      <xdr:col>12</xdr:col>
      <xdr:colOff>160020</xdr:colOff>
      <xdr:row>13</xdr:row>
      <xdr:rowOff>34290</xdr:rowOff>
    </xdr:to>
    <xdr:graphicFrame macro="">
      <xdr:nvGraphicFramePr>
        <xdr:cNvPr id="2" name="Диаграмма 1">
          <a:extLst>
            <a:ext uri="{FF2B5EF4-FFF2-40B4-BE49-F238E27FC236}">
              <a16:creationId xmlns:a16="http://schemas.microsoft.com/office/drawing/2014/main" id="{DF9B1EF3-349D-41AA-83FB-13A02BCE3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441960</xdr:colOff>
      <xdr:row>13</xdr:row>
      <xdr:rowOff>133350</xdr:rowOff>
    </xdr:from>
    <xdr:to>
      <xdr:col>12</xdr:col>
      <xdr:colOff>137160</xdr:colOff>
      <xdr:row>28</xdr:row>
      <xdr:rowOff>133350</xdr:rowOff>
    </xdr:to>
    <xdr:graphicFrame macro="">
      <xdr:nvGraphicFramePr>
        <xdr:cNvPr id="3" name="Диаграмма 2">
          <a:extLst>
            <a:ext uri="{FF2B5EF4-FFF2-40B4-BE49-F238E27FC236}">
              <a16:creationId xmlns:a16="http://schemas.microsoft.com/office/drawing/2014/main" id="{68F31647-2D20-465A-A14C-AA2908B3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7620</xdr:rowOff>
    </xdr:from>
    <xdr:to>
      <xdr:col>4</xdr:col>
      <xdr:colOff>494933</xdr:colOff>
      <xdr:row>6</xdr:row>
      <xdr:rowOff>38005</xdr:rowOff>
    </xdr:to>
    <xdr:pic>
      <xdr:nvPicPr>
        <xdr:cNvPr id="2" name="Рисунок 1">
          <a:extLst>
            <a:ext uri="{FF2B5EF4-FFF2-40B4-BE49-F238E27FC236}">
              <a16:creationId xmlns:a16="http://schemas.microsoft.com/office/drawing/2014/main" id="{E6C4469D-9BC5-49CF-8765-9721D01D2C28}"/>
            </a:ext>
          </a:extLst>
        </xdr:cNvPr>
        <xdr:cNvPicPr>
          <a:picLocks noChangeAspect="1"/>
        </xdr:cNvPicPr>
      </xdr:nvPicPr>
      <xdr:blipFill>
        <a:blip xmlns:r="http://schemas.openxmlformats.org/officeDocument/2006/relationships" r:embed="rId1"/>
        <a:stretch>
          <a:fillRect/>
        </a:stretch>
      </xdr:blipFill>
      <xdr:spPr>
        <a:xfrm>
          <a:off x="0" y="373380"/>
          <a:ext cx="2933333" cy="761905"/>
        </a:xfrm>
        <a:prstGeom prst="rect">
          <a:avLst/>
        </a:prstGeom>
      </xdr:spPr>
    </xdr:pic>
    <xdr:clientData/>
  </xdr:twoCellAnchor>
  <xdr:twoCellAnchor editAs="oneCell">
    <xdr:from>
      <xdr:col>0</xdr:col>
      <xdr:colOff>22860</xdr:colOff>
      <xdr:row>6</xdr:row>
      <xdr:rowOff>129540</xdr:rowOff>
    </xdr:from>
    <xdr:to>
      <xdr:col>5</xdr:col>
      <xdr:colOff>479622</xdr:colOff>
      <xdr:row>12</xdr:row>
      <xdr:rowOff>137022</xdr:rowOff>
    </xdr:to>
    <xdr:pic>
      <xdr:nvPicPr>
        <xdr:cNvPr id="3" name="Рисунок 2">
          <a:extLst>
            <a:ext uri="{FF2B5EF4-FFF2-40B4-BE49-F238E27FC236}">
              <a16:creationId xmlns:a16="http://schemas.microsoft.com/office/drawing/2014/main" id="{3BC641F8-6DE5-4F3D-A0C4-8CC50E098EC6}"/>
            </a:ext>
          </a:extLst>
        </xdr:cNvPr>
        <xdr:cNvPicPr>
          <a:picLocks noChangeAspect="1"/>
        </xdr:cNvPicPr>
      </xdr:nvPicPr>
      <xdr:blipFill>
        <a:blip xmlns:r="http://schemas.openxmlformats.org/officeDocument/2006/relationships" r:embed="rId2"/>
        <a:stretch>
          <a:fillRect/>
        </a:stretch>
      </xdr:blipFill>
      <xdr:spPr>
        <a:xfrm>
          <a:off x="22860" y="1226820"/>
          <a:ext cx="3504762" cy="11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15" workbookViewId="0">
      <selection sqref="A1:B26"/>
    </sheetView>
  </sheetViews>
  <sheetFormatPr defaultRowHeight="14.4" x14ac:dyDescent="0.3"/>
  <sheetData>
    <row r="1" spans="1:5" x14ac:dyDescent="0.3">
      <c r="A1">
        <v>16</v>
      </c>
      <c r="B1">
        <v>1</v>
      </c>
      <c r="C1" t="s">
        <v>0</v>
      </c>
    </row>
    <row r="2" spans="1:5" x14ac:dyDescent="0.3">
      <c r="A2">
        <v>12</v>
      </c>
      <c r="B2">
        <v>2</v>
      </c>
      <c r="C2">
        <f>AVERAGE(A1:A26)</f>
        <v>15.615384615384615</v>
      </c>
    </row>
    <row r="3" spans="1:5" x14ac:dyDescent="0.3">
      <c r="A3">
        <v>15</v>
      </c>
      <c r="B3">
        <v>3</v>
      </c>
      <c r="C3" t="s">
        <v>1</v>
      </c>
    </row>
    <row r="4" spans="1:5" x14ac:dyDescent="0.3">
      <c r="A4">
        <v>15</v>
      </c>
      <c r="B4">
        <v>4</v>
      </c>
      <c r="C4">
        <f>_xlfn.VAR.S(A1:A26)</f>
        <v>13.20615384615383</v>
      </c>
      <c r="E4">
        <f>SQRT(C4)</f>
        <v>3.6340272214381981</v>
      </c>
    </row>
    <row r="5" spans="1:5" x14ac:dyDescent="0.3">
      <c r="A5">
        <v>23</v>
      </c>
      <c r="B5">
        <v>5</v>
      </c>
      <c r="C5" t="s">
        <v>2</v>
      </c>
    </row>
    <row r="6" spans="1:5" x14ac:dyDescent="0.3">
      <c r="A6">
        <v>9</v>
      </c>
      <c r="B6">
        <v>6</v>
      </c>
      <c r="C6">
        <f>C4/C2</f>
        <v>0.84571428571428475</v>
      </c>
    </row>
    <row r="7" spans="1:5" x14ac:dyDescent="0.3">
      <c r="A7">
        <v>15</v>
      </c>
      <c r="B7">
        <v>7</v>
      </c>
      <c r="C7" t="s">
        <v>3</v>
      </c>
    </row>
    <row r="8" spans="1:5" x14ac:dyDescent="0.3">
      <c r="A8">
        <v>13</v>
      </c>
      <c r="B8">
        <v>8</v>
      </c>
      <c r="C8">
        <f>MIN(A1:A26)</f>
        <v>9</v>
      </c>
      <c r="E8">
        <f>MAX(A1:A26)</f>
        <v>27</v>
      </c>
    </row>
    <row r="9" spans="1:5" x14ac:dyDescent="0.3">
      <c r="A9">
        <v>14</v>
      </c>
      <c r="B9">
        <v>9</v>
      </c>
      <c r="C9" t="s">
        <v>4</v>
      </c>
      <c r="E9" t="s">
        <v>5</v>
      </c>
    </row>
    <row r="10" spans="1:5" x14ac:dyDescent="0.3">
      <c r="A10">
        <v>14</v>
      </c>
      <c r="B10">
        <v>10</v>
      </c>
    </row>
    <row r="11" spans="1:5" x14ac:dyDescent="0.3">
      <c r="A11">
        <v>21</v>
      </c>
      <c r="B11">
        <v>11</v>
      </c>
      <c r="C11" t="s">
        <v>6</v>
      </c>
    </row>
    <row r="12" spans="1:5" x14ac:dyDescent="0.3">
      <c r="A12">
        <v>15</v>
      </c>
      <c r="B12">
        <v>12</v>
      </c>
      <c r="C12">
        <f>SKEW(A1:A26)</f>
        <v>1.4739782727059814</v>
      </c>
      <c r="E12">
        <f>KURT(A1:A26)</f>
        <v>3.3538295389407584</v>
      </c>
    </row>
    <row r="13" spans="1:5" x14ac:dyDescent="0.3">
      <c r="A13">
        <v>14</v>
      </c>
      <c r="B13">
        <v>13</v>
      </c>
    </row>
    <row r="14" spans="1:5" x14ac:dyDescent="0.3">
      <c r="A14">
        <v>17</v>
      </c>
      <c r="B14">
        <v>14</v>
      </c>
    </row>
    <row r="15" spans="1:5" x14ac:dyDescent="0.3">
      <c r="A15">
        <v>27</v>
      </c>
      <c r="B15">
        <v>15</v>
      </c>
    </row>
    <row r="16" spans="1:5" x14ac:dyDescent="0.3">
      <c r="A16">
        <v>15</v>
      </c>
      <c r="B16">
        <v>16</v>
      </c>
    </row>
    <row r="17" spans="1:2" x14ac:dyDescent="0.3">
      <c r="A17">
        <v>16</v>
      </c>
      <c r="B17">
        <v>17</v>
      </c>
    </row>
    <row r="18" spans="1:2" x14ac:dyDescent="0.3">
      <c r="A18">
        <v>12</v>
      </c>
      <c r="B18">
        <v>18</v>
      </c>
    </row>
    <row r="19" spans="1:2" x14ac:dyDescent="0.3">
      <c r="A19">
        <v>16</v>
      </c>
      <c r="B19">
        <v>19</v>
      </c>
    </row>
    <row r="20" spans="1:2" x14ac:dyDescent="0.3">
      <c r="A20">
        <v>19</v>
      </c>
      <c r="B20">
        <v>20</v>
      </c>
    </row>
    <row r="21" spans="1:2" x14ac:dyDescent="0.3">
      <c r="A21">
        <v>14</v>
      </c>
      <c r="B21">
        <v>21</v>
      </c>
    </row>
    <row r="22" spans="1:2" x14ac:dyDescent="0.3">
      <c r="A22">
        <v>16</v>
      </c>
      <c r="B22">
        <v>22</v>
      </c>
    </row>
    <row r="23" spans="1:2" x14ac:dyDescent="0.3">
      <c r="A23">
        <v>17</v>
      </c>
      <c r="B23">
        <v>23</v>
      </c>
    </row>
    <row r="24" spans="1:2" x14ac:dyDescent="0.3">
      <c r="A24">
        <v>13</v>
      </c>
      <c r="B24">
        <v>24</v>
      </c>
    </row>
    <row r="25" spans="1:2" x14ac:dyDescent="0.3">
      <c r="A25">
        <v>14</v>
      </c>
      <c r="B25">
        <v>25</v>
      </c>
    </row>
    <row r="26" spans="1:2" x14ac:dyDescent="0.3">
      <c r="A26">
        <v>14</v>
      </c>
      <c r="B26">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35766-9443-46CE-9304-AA5FD52E89AE}">
  <dimension ref="A1:F7"/>
  <sheetViews>
    <sheetView workbookViewId="0">
      <selection activeCell="C1" sqref="C1:D7"/>
    </sheetView>
  </sheetViews>
  <sheetFormatPr defaultRowHeight="14.4" x14ac:dyDescent="0.3"/>
  <sheetData>
    <row r="1" spans="1:6" ht="57.6" x14ac:dyDescent="0.3">
      <c r="A1" s="1" t="s">
        <v>7</v>
      </c>
      <c r="B1" s="1" t="s">
        <v>8</v>
      </c>
      <c r="C1" s="1" t="s">
        <v>9</v>
      </c>
      <c r="D1" s="1" t="s">
        <v>10</v>
      </c>
      <c r="E1" s="1"/>
    </row>
    <row r="2" spans="1:6" x14ac:dyDescent="0.3">
      <c r="A2" s="3">
        <v>100</v>
      </c>
      <c r="B2" s="2">
        <v>300</v>
      </c>
      <c r="C2" s="2">
        <v>30</v>
      </c>
      <c r="D2" s="2" t="s">
        <v>11</v>
      </c>
      <c r="F2" t="s">
        <v>17</v>
      </c>
    </row>
    <row r="3" spans="1:6" x14ac:dyDescent="0.3">
      <c r="A3" s="2">
        <v>300</v>
      </c>
      <c r="B3" s="2">
        <v>500</v>
      </c>
      <c r="C3" s="2">
        <v>38</v>
      </c>
      <c r="D3" s="2" t="s">
        <v>12</v>
      </c>
      <c r="F3" t="s">
        <v>18</v>
      </c>
    </row>
    <row r="4" spans="1:6" x14ac:dyDescent="0.3">
      <c r="A4" s="2">
        <v>500</v>
      </c>
      <c r="B4" s="2">
        <v>700</v>
      </c>
      <c r="C4" s="2">
        <v>50</v>
      </c>
      <c r="D4" s="2" t="s">
        <v>13</v>
      </c>
    </row>
    <row r="5" spans="1:6" x14ac:dyDescent="0.3">
      <c r="A5" s="2">
        <v>700</v>
      </c>
      <c r="B5" s="2">
        <v>900</v>
      </c>
      <c r="C5" s="2">
        <v>31</v>
      </c>
      <c r="D5" s="2" t="s">
        <v>14</v>
      </c>
    </row>
    <row r="6" spans="1:6" x14ac:dyDescent="0.3">
      <c r="A6" s="2">
        <v>900</v>
      </c>
      <c r="B6" s="2">
        <v>1100</v>
      </c>
      <c r="C6" s="2">
        <v>22</v>
      </c>
      <c r="D6" s="2" t="s">
        <v>15</v>
      </c>
    </row>
    <row r="7" spans="1:6" x14ac:dyDescent="0.3">
      <c r="A7" s="2">
        <v>1100</v>
      </c>
      <c r="B7" s="3">
        <v>1300</v>
      </c>
      <c r="C7" s="2">
        <v>13</v>
      </c>
      <c r="D7" s="2"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3CD6B-CA87-485A-B7B9-0C6D0198243E}">
  <dimension ref="A1:B15"/>
  <sheetViews>
    <sheetView topLeftCell="A10" workbookViewId="0">
      <selection activeCell="G18" sqref="G18"/>
    </sheetView>
  </sheetViews>
  <sheetFormatPr defaultRowHeight="14.4" x14ac:dyDescent="0.3"/>
  <sheetData>
    <row r="1" spans="1:2" ht="43.2" x14ac:dyDescent="0.3">
      <c r="A1" s="1" t="s">
        <v>19</v>
      </c>
      <c r="B1" s="1" t="s">
        <v>20</v>
      </c>
    </row>
    <row r="2" spans="1:2" x14ac:dyDescent="0.3">
      <c r="A2" s="2" t="s">
        <v>21</v>
      </c>
      <c r="B2" s="2">
        <v>10</v>
      </c>
    </row>
    <row r="3" spans="1:2" x14ac:dyDescent="0.3">
      <c r="A3" s="2" t="s">
        <v>22</v>
      </c>
      <c r="B3" s="2">
        <v>29</v>
      </c>
    </row>
    <row r="4" spans="1:2" x14ac:dyDescent="0.3">
      <c r="A4" s="2" t="s">
        <v>23</v>
      </c>
      <c r="B4" s="2">
        <v>2</v>
      </c>
    </row>
    <row r="5" spans="1:2" x14ac:dyDescent="0.3">
      <c r="A5" s="2" t="s">
        <v>24</v>
      </c>
      <c r="B5" s="2">
        <v>13</v>
      </c>
    </row>
    <row r="6" spans="1:2" x14ac:dyDescent="0.3">
      <c r="A6" s="2" t="s">
        <v>25</v>
      </c>
      <c r="B6" s="2" t="s">
        <v>26</v>
      </c>
    </row>
    <row r="7" spans="1:2" ht="28.8" x14ac:dyDescent="0.3">
      <c r="A7" s="2" t="s">
        <v>27</v>
      </c>
      <c r="B7" s="2">
        <v>6</v>
      </c>
    </row>
    <row r="9" spans="1:2" x14ac:dyDescent="0.3">
      <c r="A9" s="4" t="s">
        <v>28</v>
      </c>
    </row>
    <row r="10" spans="1:2" x14ac:dyDescent="0.3">
      <c r="A10" s="5"/>
    </row>
    <row r="11" spans="1:2" x14ac:dyDescent="0.3">
      <c r="A11" s="5" t="s">
        <v>29</v>
      </c>
    </row>
    <row r="13" spans="1:2" x14ac:dyDescent="0.3">
      <c r="A13" s="4" t="s">
        <v>30</v>
      </c>
    </row>
    <row r="14" spans="1:2" x14ac:dyDescent="0.3">
      <c r="A14" s="5"/>
    </row>
    <row r="15" spans="1:2" x14ac:dyDescent="0.3">
      <c r="A15" s="5"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F372-2850-47F0-A814-F104FB62D734}">
  <dimension ref="A1:S14"/>
  <sheetViews>
    <sheetView zoomScale="70" zoomScaleNormal="70" workbookViewId="0">
      <selection activeCell="M14" sqref="M14"/>
    </sheetView>
  </sheetViews>
  <sheetFormatPr defaultRowHeight="14.4" x14ac:dyDescent="0.3"/>
  <sheetData>
    <row r="1" spans="1:19" x14ac:dyDescent="0.3">
      <c r="A1" s="4" t="s">
        <v>32</v>
      </c>
    </row>
    <row r="3" spans="1:19" x14ac:dyDescent="0.3">
      <c r="A3" s="4" t="s">
        <v>33</v>
      </c>
    </row>
    <row r="7" spans="1:19" x14ac:dyDescent="0.3">
      <c r="A7" t="s">
        <v>34</v>
      </c>
    </row>
    <row r="8" spans="1:19" x14ac:dyDescent="0.3">
      <c r="A8" t="s">
        <v>36</v>
      </c>
    </row>
    <row r="9" spans="1:19" x14ac:dyDescent="0.3">
      <c r="I9" s="6" t="s">
        <v>40</v>
      </c>
      <c r="J9" s="6" t="s">
        <v>41</v>
      </c>
      <c r="K9" s="6"/>
      <c r="L9" s="6"/>
      <c r="M9" s="6"/>
      <c r="N9" s="6"/>
      <c r="O9" s="6"/>
      <c r="P9" s="6"/>
      <c r="Q9" s="6"/>
      <c r="R9" s="6"/>
      <c r="S9" s="6"/>
    </row>
    <row r="10" spans="1:19" x14ac:dyDescent="0.3">
      <c r="A10" t="s">
        <v>35</v>
      </c>
    </row>
    <row r="12" spans="1:19" x14ac:dyDescent="0.3">
      <c r="A12" t="s">
        <v>37</v>
      </c>
    </row>
    <row r="13" spans="1:19" x14ac:dyDescent="0.3">
      <c r="A13" t="s">
        <v>38</v>
      </c>
      <c r="B13">
        <v>3</v>
      </c>
    </row>
    <row r="14" spans="1:19" x14ac:dyDescent="0.3">
      <c r="A14" t="s">
        <v>39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6292-147E-4C34-BE97-6450F413CDE9}">
  <dimension ref="A1:E25"/>
  <sheetViews>
    <sheetView topLeftCell="A5" zoomScale="55" zoomScaleNormal="55" workbookViewId="0">
      <selection activeCell="I14" sqref="I14"/>
    </sheetView>
  </sheetViews>
  <sheetFormatPr defaultRowHeight="14.4" x14ac:dyDescent="0.3"/>
  <sheetData>
    <row r="1" spans="1:5" ht="43.2" x14ac:dyDescent="0.3">
      <c r="A1" s="1" t="s">
        <v>19</v>
      </c>
      <c r="B1" s="1" t="s">
        <v>42</v>
      </c>
      <c r="C1" s="1" t="s">
        <v>43</v>
      </c>
      <c r="D1" s="1" t="s">
        <v>44</v>
      </c>
    </row>
    <row r="2" spans="1:5" x14ac:dyDescent="0.3">
      <c r="A2" s="7">
        <v>45635</v>
      </c>
      <c r="B2" s="2">
        <v>3</v>
      </c>
      <c r="C2" s="2">
        <v>2</v>
      </c>
      <c r="D2" s="2">
        <v>2</v>
      </c>
    </row>
    <row r="3" spans="1:5" x14ac:dyDescent="0.3">
      <c r="A3" s="9">
        <v>42339</v>
      </c>
      <c r="B3" s="2" t="s">
        <v>45</v>
      </c>
      <c r="C3" s="2">
        <v>3</v>
      </c>
      <c r="D3" s="2">
        <v>5</v>
      </c>
    </row>
    <row r="4" spans="1:5" ht="72" x14ac:dyDescent="0.3">
      <c r="A4" s="2" t="s">
        <v>46</v>
      </c>
      <c r="B4" s="2" t="s">
        <v>47</v>
      </c>
      <c r="C4" s="2">
        <v>10</v>
      </c>
      <c r="D4" s="2">
        <v>15</v>
      </c>
    </row>
    <row r="5" spans="1:5" x14ac:dyDescent="0.3">
      <c r="A5" s="2" t="s">
        <v>48</v>
      </c>
      <c r="B5" s="2" t="s">
        <v>49</v>
      </c>
      <c r="C5" s="2">
        <v>2</v>
      </c>
      <c r="D5" s="2">
        <v>17</v>
      </c>
    </row>
    <row r="6" spans="1:5" x14ac:dyDescent="0.3">
      <c r="A6" s="2" t="s">
        <v>50</v>
      </c>
      <c r="B6" s="2">
        <v>23</v>
      </c>
      <c r="C6" s="2">
        <v>1</v>
      </c>
      <c r="D6" s="2">
        <v>18</v>
      </c>
    </row>
    <row r="7" spans="1:5" x14ac:dyDescent="0.3">
      <c r="A7" s="2" t="s">
        <v>51</v>
      </c>
      <c r="B7" s="2">
        <v>27</v>
      </c>
      <c r="C7" s="2">
        <v>1</v>
      </c>
      <c r="D7" s="2">
        <v>19</v>
      </c>
    </row>
    <row r="9" spans="1:5" ht="100.8" x14ac:dyDescent="0.3">
      <c r="A9" s="1" t="s">
        <v>19</v>
      </c>
      <c r="B9" s="1" t="s">
        <v>52</v>
      </c>
      <c r="D9" s="1" t="s">
        <v>19</v>
      </c>
      <c r="E9" s="1" t="s">
        <v>53</v>
      </c>
    </row>
    <row r="10" spans="1:5" x14ac:dyDescent="0.3">
      <c r="A10" s="7">
        <v>45635</v>
      </c>
      <c r="B10" s="2">
        <v>2</v>
      </c>
      <c r="D10" s="2" t="s">
        <v>51</v>
      </c>
      <c r="E10" s="2">
        <v>19</v>
      </c>
    </row>
    <row r="11" spans="1:5" x14ac:dyDescent="0.3">
      <c r="A11" s="9">
        <v>42339</v>
      </c>
      <c r="B11" s="2">
        <v>5</v>
      </c>
      <c r="D11" s="2" t="s">
        <v>50</v>
      </c>
      <c r="E11" s="2">
        <v>18</v>
      </c>
    </row>
    <row r="12" spans="1:5" x14ac:dyDescent="0.3">
      <c r="A12" s="2" t="s">
        <v>46</v>
      </c>
      <c r="B12" s="2">
        <v>15</v>
      </c>
      <c r="D12" s="2" t="s">
        <v>48</v>
      </c>
      <c r="E12" s="2">
        <v>17</v>
      </c>
    </row>
    <row r="13" spans="1:5" x14ac:dyDescent="0.3">
      <c r="A13" s="2" t="s">
        <v>48</v>
      </c>
      <c r="B13" s="2">
        <v>17</v>
      </c>
      <c r="D13" s="2" t="s">
        <v>46</v>
      </c>
      <c r="E13" s="2">
        <v>15</v>
      </c>
    </row>
    <row r="14" spans="1:5" x14ac:dyDescent="0.3">
      <c r="A14" s="2" t="s">
        <v>50</v>
      </c>
      <c r="B14" s="2">
        <v>18</v>
      </c>
      <c r="D14" s="9">
        <v>42339</v>
      </c>
      <c r="E14" s="2">
        <v>5</v>
      </c>
    </row>
    <row r="15" spans="1:5" x14ac:dyDescent="0.3">
      <c r="A15" s="2" t="s">
        <v>51</v>
      </c>
      <c r="B15" s="2">
        <v>19</v>
      </c>
      <c r="D15" s="7">
        <v>45635</v>
      </c>
      <c r="E15" s="2">
        <v>2</v>
      </c>
    </row>
    <row r="17" spans="1:1" x14ac:dyDescent="0.3">
      <c r="A17" t="s">
        <v>54</v>
      </c>
    </row>
    <row r="18" spans="1:1" x14ac:dyDescent="0.3">
      <c r="A18" s="5"/>
    </row>
    <row r="19" spans="1:1" x14ac:dyDescent="0.3">
      <c r="A19" s="10" t="s">
        <v>55</v>
      </c>
    </row>
    <row r="20" spans="1:1" x14ac:dyDescent="0.3">
      <c r="A20" s="5"/>
    </row>
    <row r="21" spans="1:1" x14ac:dyDescent="0.3">
      <c r="A21" s="10" t="s">
        <v>56</v>
      </c>
    </row>
    <row r="22" spans="1:1" x14ac:dyDescent="0.3">
      <c r="A22" s="5"/>
    </row>
    <row r="23" spans="1:1" x14ac:dyDescent="0.3">
      <c r="A23" s="10" t="s">
        <v>57</v>
      </c>
    </row>
    <row r="24" spans="1:1" x14ac:dyDescent="0.3">
      <c r="A24" s="5"/>
    </row>
    <row r="25" spans="1:1" x14ac:dyDescent="0.3">
      <c r="A25" s="10"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F9224-29DC-4334-ABD0-DF614DE9B767}">
  <dimension ref="A1:D12"/>
  <sheetViews>
    <sheetView workbookViewId="0">
      <selection activeCell="N6" sqref="N6"/>
    </sheetView>
  </sheetViews>
  <sheetFormatPr defaultRowHeight="14.4" x14ac:dyDescent="0.3"/>
  <sheetData>
    <row r="1" spans="1:4" ht="28.8" x14ac:dyDescent="0.3">
      <c r="A1" s="1" t="s">
        <v>42</v>
      </c>
      <c r="B1" s="1" t="s">
        <v>43</v>
      </c>
      <c r="D1" t="s">
        <v>59</v>
      </c>
    </row>
    <row r="2" spans="1:4" x14ac:dyDescent="0.3">
      <c r="A2" s="2">
        <v>9</v>
      </c>
      <c r="B2" s="2">
        <v>1</v>
      </c>
    </row>
    <row r="3" spans="1:4" x14ac:dyDescent="0.3">
      <c r="A3" s="2">
        <v>12</v>
      </c>
      <c r="B3" s="2">
        <v>2</v>
      </c>
    </row>
    <row r="4" spans="1:4" x14ac:dyDescent="0.3">
      <c r="A4" s="2">
        <v>13</v>
      </c>
      <c r="B4" s="2">
        <v>1</v>
      </c>
    </row>
    <row r="5" spans="1:4" x14ac:dyDescent="0.3">
      <c r="A5" s="2">
        <v>14</v>
      </c>
      <c r="B5" s="2">
        <v>5</v>
      </c>
    </row>
    <row r="6" spans="1:4" x14ac:dyDescent="0.3">
      <c r="A6" s="2">
        <v>15</v>
      </c>
      <c r="B6" s="2">
        <v>6</v>
      </c>
    </row>
    <row r="7" spans="1:4" x14ac:dyDescent="0.3">
      <c r="A7" s="2">
        <v>16</v>
      </c>
      <c r="B7" s="2">
        <v>5</v>
      </c>
    </row>
    <row r="8" spans="1:4" x14ac:dyDescent="0.3">
      <c r="A8" s="2">
        <v>17</v>
      </c>
      <c r="B8" s="2">
        <v>2</v>
      </c>
    </row>
    <row r="9" spans="1:4" x14ac:dyDescent="0.3">
      <c r="A9" s="2">
        <v>19</v>
      </c>
      <c r="B9" s="2">
        <v>1</v>
      </c>
    </row>
    <row r="10" spans="1:4" x14ac:dyDescent="0.3">
      <c r="A10" s="2">
        <v>21</v>
      </c>
      <c r="B10" s="2">
        <v>1</v>
      </c>
    </row>
    <row r="11" spans="1:4" x14ac:dyDescent="0.3">
      <c r="A11" s="2">
        <v>23</v>
      </c>
      <c r="B11" s="2">
        <v>1</v>
      </c>
    </row>
    <row r="12" spans="1:4" x14ac:dyDescent="0.3">
      <c r="A12" s="2">
        <v>27</v>
      </c>
      <c r="B12" s="2">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0A89-81F2-451C-8CCE-63673298A9ED}">
  <dimension ref="A1:D7"/>
  <sheetViews>
    <sheetView zoomScale="85" zoomScaleNormal="85" workbookViewId="0">
      <selection activeCell="D2" activeCellId="1" sqref="A2:A7 D2:D7"/>
    </sheetView>
  </sheetViews>
  <sheetFormatPr defaultRowHeight="14.4" x14ac:dyDescent="0.3"/>
  <sheetData>
    <row r="1" spans="1:4" ht="43.2" x14ac:dyDescent="0.3">
      <c r="A1" t="s">
        <v>63</v>
      </c>
      <c r="B1" s="1" t="s">
        <v>9</v>
      </c>
      <c r="C1" s="1" t="s">
        <v>10</v>
      </c>
      <c r="D1" s="1" t="s">
        <v>67</v>
      </c>
    </row>
    <row r="2" spans="1:4" x14ac:dyDescent="0.3">
      <c r="A2" t="s">
        <v>60</v>
      </c>
      <c r="B2" s="2">
        <v>30</v>
      </c>
      <c r="C2" s="2" t="s">
        <v>11</v>
      </c>
      <c r="D2">
        <v>30</v>
      </c>
    </row>
    <row r="3" spans="1:4" x14ac:dyDescent="0.3">
      <c r="A3" t="s">
        <v>61</v>
      </c>
      <c r="B3" s="2">
        <v>38</v>
      </c>
      <c r="C3" s="2" t="s">
        <v>12</v>
      </c>
      <c r="D3">
        <v>68</v>
      </c>
    </row>
    <row r="4" spans="1:4" x14ac:dyDescent="0.3">
      <c r="A4" t="s">
        <v>62</v>
      </c>
      <c r="B4" s="2">
        <v>50</v>
      </c>
      <c r="C4" s="2" t="s">
        <v>13</v>
      </c>
      <c r="D4">
        <v>118</v>
      </c>
    </row>
    <row r="5" spans="1:4" x14ac:dyDescent="0.3">
      <c r="A5" t="s">
        <v>64</v>
      </c>
      <c r="B5" s="2">
        <v>31</v>
      </c>
      <c r="C5" s="2" t="s">
        <v>14</v>
      </c>
      <c r="D5">
        <v>149</v>
      </c>
    </row>
    <row r="6" spans="1:4" x14ac:dyDescent="0.3">
      <c r="A6" t="s">
        <v>65</v>
      </c>
      <c r="B6" s="2">
        <v>22</v>
      </c>
      <c r="C6" s="2" t="s">
        <v>15</v>
      </c>
      <c r="D6">
        <v>171</v>
      </c>
    </row>
    <row r="7" spans="1:4" x14ac:dyDescent="0.3">
      <c r="A7" t="s">
        <v>66</v>
      </c>
      <c r="B7" s="2">
        <v>13</v>
      </c>
      <c r="C7" s="2" t="s">
        <v>16</v>
      </c>
      <c r="D7">
        <v>184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025F-8577-47C0-A7C0-048A94988464}">
  <dimension ref="A1:H26"/>
  <sheetViews>
    <sheetView workbookViewId="0">
      <selection activeCell="D4" sqref="D4"/>
    </sheetView>
  </sheetViews>
  <sheetFormatPr defaultRowHeight="14.4" x14ac:dyDescent="0.3"/>
  <sheetData>
    <row r="1" spans="1:8" x14ac:dyDescent="0.3">
      <c r="A1">
        <v>16</v>
      </c>
      <c r="B1">
        <v>1</v>
      </c>
      <c r="D1" t="s">
        <v>71</v>
      </c>
      <c r="E1" s="8" t="s">
        <v>68</v>
      </c>
      <c r="F1" s="11"/>
      <c r="G1" s="11"/>
      <c r="H1" s="11"/>
    </row>
    <row r="2" spans="1:8" x14ac:dyDescent="0.3">
      <c r="A2">
        <v>12</v>
      </c>
      <c r="B2">
        <v>2</v>
      </c>
      <c r="D2" t="s">
        <v>72</v>
      </c>
      <c r="E2" s="11" t="s">
        <v>69</v>
      </c>
      <c r="F2" s="11"/>
      <c r="G2" s="11"/>
      <c r="H2" s="11"/>
    </row>
    <row r="3" spans="1:8" x14ac:dyDescent="0.3">
      <c r="A3">
        <v>15</v>
      </c>
      <c r="B3">
        <v>3</v>
      </c>
      <c r="D3" t="s">
        <v>73</v>
      </c>
      <c r="E3" s="11" t="s">
        <v>70</v>
      </c>
      <c r="F3" s="11"/>
      <c r="G3" s="11"/>
      <c r="H3" s="11"/>
    </row>
    <row r="4" spans="1:8" x14ac:dyDescent="0.3">
      <c r="A4">
        <v>15</v>
      </c>
      <c r="B4">
        <v>4</v>
      </c>
      <c r="E4" s="11"/>
      <c r="F4" s="11"/>
      <c r="G4" s="11"/>
      <c r="H4" s="11"/>
    </row>
    <row r="5" spans="1:8" x14ac:dyDescent="0.3">
      <c r="A5">
        <v>23</v>
      </c>
      <c r="B5">
        <v>5</v>
      </c>
      <c r="E5" s="11"/>
      <c r="F5" s="11"/>
      <c r="G5" s="11"/>
      <c r="H5" s="11"/>
    </row>
    <row r="6" spans="1:8" x14ac:dyDescent="0.3">
      <c r="A6">
        <v>9</v>
      </c>
      <c r="B6">
        <v>6</v>
      </c>
      <c r="E6" s="11"/>
      <c r="F6" s="11"/>
      <c r="G6" s="11"/>
      <c r="H6" s="11"/>
    </row>
    <row r="7" spans="1:8" x14ac:dyDescent="0.3">
      <c r="A7">
        <v>15</v>
      </c>
      <c r="B7">
        <v>7</v>
      </c>
      <c r="E7" s="11"/>
      <c r="F7" s="11"/>
      <c r="G7" s="11"/>
      <c r="H7" s="11"/>
    </row>
    <row r="8" spans="1:8" x14ac:dyDescent="0.3">
      <c r="A8">
        <v>13</v>
      </c>
      <c r="B8">
        <v>8</v>
      </c>
      <c r="E8" s="11"/>
      <c r="F8" s="11"/>
      <c r="G8" s="11"/>
      <c r="H8" s="11"/>
    </row>
    <row r="9" spans="1:8" x14ac:dyDescent="0.3">
      <c r="A9">
        <v>14</v>
      </c>
      <c r="B9">
        <v>9</v>
      </c>
      <c r="E9" s="11"/>
      <c r="F9" s="11"/>
      <c r="G9" s="11"/>
      <c r="H9" s="11"/>
    </row>
    <row r="10" spans="1:8" x14ac:dyDescent="0.3">
      <c r="A10">
        <v>14</v>
      </c>
      <c r="B10">
        <v>10</v>
      </c>
      <c r="E10" s="11"/>
      <c r="F10" s="11"/>
      <c r="G10" s="11"/>
      <c r="H10" s="11"/>
    </row>
    <row r="11" spans="1:8" x14ac:dyDescent="0.3">
      <c r="A11">
        <v>21</v>
      </c>
      <c r="B11">
        <v>11</v>
      </c>
      <c r="E11" s="11"/>
      <c r="F11" s="11"/>
      <c r="G11" s="11"/>
      <c r="H11" s="11"/>
    </row>
    <row r="12" spans="1:8" x14ac:dyDescent="0.3">
      <c r="A12">
        <v>15</v>
      </c>
      <c r="B12">
        <v>12</v>
      </c>
      <c r="E12" s="11"/>
      <c r="F12" s="11"/>
      <c r="G12" s="11"/>
      <c r="H12" s="11"/>
    </row>
    <row r="13" spans="1:8" x14ac:dyDescent="0.3">
      <c r="A13">
        <v>14</v>
      </c>
      <c r="B13">
        <v>13</v>
      </c>
      <c r="E13" s="11"/>
      <c r="F13" s="11"/>
      <c r="G13" s="11"/>
      <c r="H13" s="11"/>
    </row>
    <row r="14" spans="1:8" x14ac:dyDescent="0.3">
      <c r="A14">
        <v>17</v>
      </c>
      <c r="B14">
        <v>14</v>
      </c>
      <c r="E14" s="11"/>
      <c r="F14" s="11"/>
      <c r="G14" s="11"/>
      <c r="H14" s="11"/>
    </row>
    <row r="15" spans="1:8" x14ac:dyDescent="0.3">
      <c r="A15">
        <v>27</v>
      </c>
      <c r="B15">
        <v>15</v>
      </c>
      <c r="E15" s="11"/>
      <c r="F15" s="11"/>
      <c r="G15" s="11"/>
      <c r="H15" s="11"/>
    </row>
    <row r="16" spans="1:8" x14ac:dyDescent="0.3">
      <c r="A16">
        <v>15</v>
      </c>
      <c r="B16">
        <v>16</v>
      </c>
      <c r="E16" s="11"/>
      <c r="F16" s="11"/>
      <c r="G16" s="11"/>
      <c r="H16" s="11"/>
    </row>
    <row r="17" spans="1:8" x14ac:dyDescent="0.3">
      <c r="A17">
        <v>16</v>
      </c>
      <c r="B17">
        <v>17</v>
      </c>
      <c r="E17" s="11"/>
      <c r="F17" s="11"/>
      <c r="G17" s="11"/>
      <c r="H17" s="11"/>
    </row>
    <row r="18" spans="1:8" x14ac:dyDescent="0.3">
      <c r="A18">
        <v>12</v>
      </c>
      <c r="B18">
        <v>18</v>
      </c>
      <c r="E18" s="11"/>
      <c r="F18" s="11"/>
      <c r="G18" s="11"/>
      <c r="H18" s="11"/>
    </row>
    <row r="19" spans="1:8" x14ac:dyDescent="0.3">
      <c r="A19">
        <v>16</v>
      </c>
      <c r="B19">
        <v>19</v>
      </c>
    </row>
    <row r="20" spans="1:8" x14ac:dyDescent="0.3">
      <c r="A20">
        <v>19</v>
      </c>
      <c r="B20">
        <v>20</v>
      </c>
    </row>
    <row r="21" spans="1:8" x14ac:dyDescent="0.3">
      <c r="A21">
        <v>14</v>
      </c>
      <c r="B21">
        <v>21</v>
      </c>
    </row>
    <row r="22" spans="1:8" x14ac:dyDescent="0.3">
      <c r="A22">
        <v>16</v>
      </c>
      <c r="B22">
        <v>22</v>
      </c>
    </row>
    <row r="23" spans="1:8" x14ac:dyDescent="0.3">
      <c r="A23">
        <v>17</v>
      </c>
      <c r="B23">
        <v>23</v>
      </c>
    </row>
    <row r="24" spans="1:8" x14ac:dyDescent="0.3">
      <c r="A24">
        <v>13</v>
      </c>
      <c r="B24">
        <v>24</v>
      </c>
    </row>
    <row r="25" spans="1:8" x14ac:dyDescent="0.3">
      <c r="A25">
        <v>14</v>
      </c>
      <c r="B25">
        <v>25</v>
      </c>
    </row>
    <row r="26" spans="1:8" x14ac:dyDescent="0.3">
      <c r="A26">
        <v>14</v>
      </c>
      <c r="B26">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5F4A-3C7C-4EE4-B2DC-D77A0AF4EF98}">
  <dimension ref="A1:A2"/>
  <sheetViews>
    <sheetView tabSelected="1" topLeftCell="A4" workbookViewId="0">
      <selection activeCell="H10" sqref="H10"/>
    </sheetView>
  </sheetViews>
  <sheetFormatPr defaultRowHeight="14.4" x14ac:dyDescent="0.3"/>
  <sheetData>
    <row r="1" spans="1:1" x14ac:dyDescent="0.3">
      <c r="A1" t="s">
        <v>74</v>
      </c>
    </row>
    <row r="2" spans="1:1" x14ac:dyDescent="0.3">
      <c r="A2"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Задание1</vt:lpstr>
      <vt:lpstr>Задание2</vt:lpstr>
      <vt:lpstr>Задание3</vt:lpstr>
      <vt:lpstr>Задание 4</vt:lpstr>
      <vt:lpstr>Задание5</vt:lpstr>
      <vt:lpstr>Задание6</vt:lpstr>
      <vt:lpstr>Задание7</vt:lpstr>
      <vt:lpstr>Задание8</vt:lpstr>
      <vt:lpstr>Задание9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HORRUS TH</dc:creator>
  <cp:lastModifiedBy>HORRUS TH</cp:lastModifiedBy>
  <dcterms:created xsi:type="dcterms:W3CDTF">2015-06-05T18:19:34Z</dcterms:created>
  <dcterms:modified xsi:type="dcterms:W3CDTF">2024-06-03T03:06:34Z</dcterms:modified>
</cp:coreProperties>
</file>