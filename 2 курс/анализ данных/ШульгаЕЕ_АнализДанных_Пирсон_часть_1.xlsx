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Users\eugen\OneDrive\Рабочий стол\"/>
    </mc:Choice>
  </mc:AlternateContent>
  <xr:revisionPtr revIDLastSave="0" documentId="8_{FB6CC766-0849-432C-9B04-0F8430B46E39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5" r:id="rId5"/>
    <sheet name="Задание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G14" i="2"/>
  <c r="G13" i="2"/>
  <c r="G44" i="1"/>
  <c r="G43" i="1"/>
  <c r="G33" i="1"/>
  <c r="G34" i="1"/>
  <c r="G35" i="1"/>
  <c r="G36" i="1"/>
  <c r="G37" i="1"/>
  <c r="G38" i="1"/>
  <c r="G39" i="1"/>
  <c r="G40" i="1"/>
  <c r="G41" i="1"/>
  <c r="G32" i="1"/>
  <c r="F33" i="1"/>
  <c r="F34" i="1"/>
  <c r="F35" i="1"/>
  <c r="F36" i="1"/>
  <c r="F37" i="1"/>
  <c r="F38" i="1"/>
  <c r="F39" i="1"/>
  <c r="F40" i="1"/>
  <c r="F41" i="1"/>
  <c r="F32" i="1"/>
</calcChain>
</file>

<file path=xl/sharedStrings.xml><?xml version="1.0" encoding="utf-8"?>
<sst xmlns="http://schemas.openxmlformats.org/spreadsheetml/2006/main" count="158" uniqueCount="106">
  <si>
    <t>X</t>
  </si>
  <si>
    <t>Y</t>
  </si>
  <si>
    <t>Ранг</t>
  </si>
  <si>
    <t>№ испытуемого</t>
  </si>
  <si>
    <t>Ранг X</t>
  </si>
  <si>
    <t>Ранг Y</t>
  </si>
  <si>
    <t>разница</t>
  </si>
  <si>
    <t>разница в кв</t>
  </si>
  <si>
    <t>сумма квадратов:</t>
  </si>
  <si>
    <t>коэф. пирсона</t>
  </si>
  <si>
    <t>№ профессии</t>
  </si>
  <si>
    <t>Преподаватель (X)</t>
  </si>
  <si>
    <t>Студент (Y)</t>
  </si>
  <si>
    <t>d (разность рангов)</t>
  </si>
  <si>
    <t>d^2</t>
  </si>
  <si>
    <t>3 - 2 = 1</t>
  </si>
  <si>
    <t>1 - 1 = 0</t>
  </si>
  <si>
    <t>4 - 7 = -3</t>
  </si>
  <si>
    <t>2 - 4 = -2</t>
  </si>
  <si>
    <t>8 - 5 = 3</t>
  </si>
  <si>
    <t>6 - 3 = 3</t>
  </si>
  <si>
    <t>9 - 9 = 0</t>
  </si>
  <si>
    <t>5 - 8 = -3</t>
  </si>
  <si>
    <t>10 - 10 = 0</t>
  </si>
  <si>
    <t>7 - 6 = 1</t>
  </si>
  <si>
    <t>сумма</t>
  </si>
  <si>
    <t>коэф пир</t>
  </si>
  <si>
    <t>Стаж (X)</t>
  </si>
  <si>
    <t>Время решения (Y)</t>
  </si>
  <si>
    <t>10 - 4 = 6</t>
  </si>
  <si>
    <t>1 - 10 = -9</t>
  </si>
  <si>
    <t>2 - 9 = -7</t>
  </si>
  <si>
    <t>3 - 8 = -5</t>
  </si>
  <si>
    <t>8 - 1 = 7</t>
  </si>
  <si>
    <t>5 - 3 = 2</t>
  </si>
  <si>
    <t>9 - 2 = 7</t>
  </si>
  <si>
    <t>7 - 5 = 2</t>
  </si>
  <si>
    <t>6 - 6 = 0</t>
  </si>
  <si>
    <t>№</t>
  </si>
  <si>
    <t>Арбитр A (X)</t>
  </si>
  <si>
    <t>Арбитр B (Y)</t>
  </si>
  <si>
    <t>1 - 4 = -3</t>
  </si>
  <si>
    <t>2 - 10 = -8</t>
  </si>
  <si>
    <t>3 - 7 = -4</t>
  </si>
  <si>
    <t>4 - 2 = 2</t>
  </si>
  <si>
    <t>6 - 5 = 1</t>
  </si>
  <si>
    <t>8 - 9 = -1</t>
  </si>
  <si>
    <t>9 - 1 = 8</t>
  </si>
  <si>
    <t>10 - 3 = 7</t>
  </si>
  <si>
    <t>Пара A-B</t>
  </si>
  <si>
    <t>сумм</t>
  </si>
  <si>
    <t>−0.32</t>
  </si>
  <si>
    <t>Арбитр C (Z)</t>
  </si>
  <si>
    <t>Ранг Z</t>
  </si>
  <si>
    <t>1 - 3 = -2</t>
  </si>
  <si>
    <t>2 - 1 = 1</t>
  </si>
  <si>
    <t>4 - 4 = 0</t>
  </si>
  <si>
    <t>5 - 9 = -4</t>
  </si>
  <si>
    <t>8 - 8 = 0</t>
  </si>
  <si>
    <t>9 - 10 = -1</t>
  </si>
  <si>
    <t>10 - 7 = 3</t>
  </si>
  <si>
    <t>Пара A-C</t>
  </si>
  <si>
    <t>0.794</t>
  </si>
  <si>
    <t>Пара B-C</t>
  </si>
  <si>
    <t>4 - 3 = 1</t>
  </si>
  <si>
    <t>10 - 1 = 9</t>
  </si>
  <si>
    <t>7 - 2 = 5</t>
  </si>
  <si>
    <t>5 - 5 = 0</t>
  </si>
  <si>
    <t>9 - 8 = 1</t>
  </si>
  <si>
    <t>−0.273</t>
  </si>
  <si>
    <t>Вывод</t>
  </si>
  <si>
    <t>Коэффициент Спирмена для пары A-B: -0.32</t>
  </si>
  <si>
    <t>Коэффициент Спирмена для пары A-C: 0.794</t>
  </si>
  <si>
    <t>Коэффициент Спирмена для пары B-C: -0.273</t>
  </si>
  <si>
    <t>Наиболее согласующиеся оценки у арбитров A и C, так как их коэффициент ранговой корреляции Спирмена (0.794) ближе к 1, чем у других пар.</t>
  </si>
  <si>
    <t>Число посетителей (X)</t>
  </si>
  <si>
    <t>Позиция сайта (Y)</t>
  </si>
  <si>
    <t>X*Y</t>
  </si>
  <si>
    <t>X^2</t>
  </si>
  <si>
    <t>Y^2</t>
  </si>
  <si>
    <t>29.16</t>
  </si>
  <si>
    <t>17.64</t>
  </si>
  <si>
    <t>4.0</t>
  </si>
  <si>
    <t>16.00</t>
  </si>
  <si>
    <t>1.0</t>
  </si>
  <si>
    <t>1.00</t>
  </si>
  <si>
    <t>37.21</t>
  </si>
  <si>
    <t>67.24</t>
  </si>
  <si>
    <t>213.16</t>
  </si>
  <si>
    <t>∑X=11685</t>
  </si>
  <si>
    <t>∑Y=49.4\sum{Y} = 49.4∑Y=49.4</t>
  </si>
  <si>
    <t>∑XY=26925\sum{XY} = 26925∑XY=26925</t>
  </si>
  <si>
    <t>∑X2=41165325\sum{X^2} = 41165325∑X2=41165325</t>
  </si>
  <si>
    <t>∑Y2=399.22\sum{Y^2} = 399.22∑Y2=399.22</t>
  </si>
  <si>
    <t>коэф</t>
  </si>
  <si>
    <t>−0.645</t>
  </si>
  <si>
    <t>Коэффициент линейной корреляции Пирсона r=−0.645r = -0.645r=−0.645, что указывает на умеренную отрицательную корреляцию между числом посетителей и позицией сайта в поисковой системе.</t>
  </si>
  <si>
    <t>Агрессивность (Xagr)</t>
  </si>
  <si>
    <t>IQ (Yiq)</t>
  </si>
  <si>
    <t>∑X=344</t>
  </si>
  <si>
    <t>∑Y=1549\sum{Y} = 1549∑Y=1549</t>
  </si>
  <si>
    <t>∑XY=40785\sum{XY} = 40785∑XY=40785</t>
  </si>
  <si>
    <t>∑X2=8336\sum{X^2} = 8336∑X2=8336</t>
  </si>
  <si>
    <t>∑Y2=177358\sum{Y^2} = 177358∑Y2=177358</t>
  </si>
  <si>
    <t>Неверный расчет знаменателя указывает на ошибку или неучтенное значение. Рекомендуется перепроверить данные и корректность суммирования, особенно X2X^2X2. Поскольку наличие отрицательной дискриминанты невозможно, пересчитайте начальные данные.</t>
  </si>
  <si>
    <t>НЕТ ОТВЕТА, ОШИБКА С ПЕРВОНАЧАЛЬНЫМИ ДАННЫМИ, ПОЛУЧАЕТСЯ ОТРИЦАТЕЛЬНЫЙ ЗНАМЕНАТЕЛЬ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</si>
</sst>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Корелляционное</a:t>
            </a:r>
            <a:r>
              <a:rPr lang="ru-RU" baseline="0"/>
              <a:t> поле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Задание1!$B$1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Задание1!$A$2:$A$11</c:f>
              <c:numCache>
                <c:formatCode>General</c:formatCode>
                <c:ptCount val="10"/>
                <c:pt idx="0">
                  <c:v>19</c:v>
                </c:pt>
                <c:pt idx="1">
                  <c:v>32</c:v>
                </c:pt>
                <c:pt idx="2">
                  <c:v>33</c:v>
                </c:pt>
                <c:pt idx="3">
                  <c:v>44</c:v>
                </c:pt>
                <c:pt idx="4">
                  <c:v>28</c:v>
                </c:pt>
                <c:pt idx="5">
                  <c:v>35</c:v>
                </c:pt>
                <c:pt idx="6">
                  <c:v>39</c:v>
                </c:pt>
                <c:pt idx="7">
                  <c:v>39</c:v>
                </c:pt>
                <c:pt idx="8">
                  <c:v>44</c:v>
                </c:pt>
                <c:pt idx="9">
                  <c:v>44</c:v>
                </c:pt>
              </c:numCache>
            </c:numRef>
          </c:xVal>
          <c:yVal>
            <c:numRef>
              <c:f>Задание1!$B$2:$B$11</c:f>
              <c:numCache>
                <c:formatCode>General</c:formatCode>
                <c:ptCount val="10"/>
                <c:pt idx="0">
                  <c:v>17</c:v>
                </c:pt>
                <c:pt idx="1">
                  <c:v>7</c:v>
                </c:pt>
                <c:pt idx="2">
                  <c:v>17</c:v>
                </c:pt>
                <c:pt idx="3">
                  <c:v>28</c:v>
                </c:pt>
                <c:pt idx="4">
                  <c:v>27</c:v>
                </c:pt>
                <c:pt idx="5">
                  <c:v>31</c:v>
                </c:pt>
                <c:pt idx="6">
                  <c:v>20</c:v>
                </c:pt>
                <c:pt idx="7">
                  <c:v>17</c:v>
                </c:pt>
                <c:pt idx="8">
                  <c:v>35</c:v>
                </c:pt>
                <c:pt idx="9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EF-4682-8396-18793CE1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64768"/>
        <c:axId val="138961440"/>
      </c:scatterChart>
      <c:valAx>
        <c:axId val="1389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961440"/>
        <c:crosses val="autoZero"/>
        <c:crossBetween val="midCat"/>
      </c:valAx>
      <c:valAx>
        <c:axId val="13896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96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Корелляционное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Задание2!$I$2:$I$11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7</c:v>
                </c:pt>
              </c:numCache>
            </c:numRef>
          </c:xVal>
          <c:yVal>
            <c:numRef>
              <c:f>Задание2!$J$2:$J$11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C-4202-BE73-E405A80FF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67696"/>
        <c:axId val="551166448"/>
      </c:scatterChart>
      <c:valAx>
        <c:axId val="55116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166448"/>
        <c:crosses val="autoZero"/>
        <c:crossBetween val="midCat"/>
      </c:valAx>
      <c:valAx>
        <c:axId val="5511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16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Задание3!$I$2:$I$11</c:f>
              <c:numCache>
                <c:formatCode>General</c:formatCode>
                <c:ptCount val="10"/>
                <c:pt idx="0">
                  <c:v>32</c:v>
                </c:pt>
                <c:pt idx="1">
                  <c:v>15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28</c:v>
                </c:pt>
                <c:pt idx="6">
                  <c:v>21</c:v>
                </c:pt>
                <c:pt idx="7">
                  <c:v>29</c:v>
                </c:pt>
                <c:pt idx="8">
                  <c:v>23</c:v>
                </c:pt>
                <c:pt idx="9">
                  <c:v>17</c:v>
                </c:pt>
              </c:numCache>
            </c:numRef>
          </c:xVal>
          <c:yVal>
            <c:numRef>
              <c:f>Задание3!$J$2:$J$11</c:f>
              <c:numCache>
                <c:formatCode>General</c:formatCode>
                <c:ptCount val="10"/>
                <c:pt idx="0">
                  <c:v>12</c:v>
                </c:pt>
                <c:pt idx="1">
                  <c:v>24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  <c:pt idx="5">
                  <c:v>9</c:v>
                </c:pt>
                <c:pt idx="6">
                  <c:v>11</c:v>
                </c:pt>
                <c:pt idx="7">
                  <c:v>10</c:v>
                </c:pt>
                <c:pt idx="8">
                  <c:v>15</c:v>
                </c:pt>
                <c:pt idx="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E-45C2-8143-10978CA88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800864"/>
        <c:axId val="563803776"/>
      </c:scatterChart>
      <c:valAx>
        <c:axId val="5638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803776"/>
        <c:crosses val="autoZero"/>
        <c:crossBetween val="midCat"/>
      </c:valAx>
      <c:valAx>
        <c:axId val="56380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80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пара а-б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Задание4!$R$3:$R$12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Задание4!$S$3:$S$12</c:f>
              <c:numCache>
                <c:formatCode>General</c:formatCode>
                <c:ptCount val="10"/>
                <c:pt idx="0">
                  <c:v>3</c:v>
                </c:pt>
                <c:pt idx="1">
                  <c:v>10</c:v>
                </c:pt>
                <c:pt idx="2">
                  <c:v>7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1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F-4E0C-98EE-98B242B6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807024"/>
        <c:axId val="555806608"/>
      </c:scatterChart>
      <c:valAx>
        <c:axId val="55580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806608"/>
        <c:crosses val="autoZero"/>
        <c:crossBetween val="midCat"/>
      </c:valAx>
      <c:valAx>
        <c:axId val="55580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80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пара б-с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Задание4!$U$3:$U$12</c:f>
              <c:numCache>
                <c:formatCode>General</c:formatCode>
                <c:ptCount val="10"/>
                <c:pt idx="0">
                  <c:v>3</c:v>
                </c:pt>
                <c:pt idx="1">
                  <c:v>10</c:v>
                </c:pt>
                <c:pt idx="2">
                  <c:v>7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1</c:v>
                </c:pt>
                <c:pt idx="9">
                  <c:v>4</c:v>
                </c:pt>
              </c:numCache>
            </c:numRef>
          </c:xVal>
          <c:yVal>
            <c:numRef>
              <c:f>Задание4!$V$3:$V$12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B-43D2-A27B-8AF90D2BB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811952"/>
        <c:axId val="550812368"/>
      </c:scatterChart>
      <c:valAx>
        <c:axId val="5508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812368"/>
        <c:crosses val="autoZero"/>
        <c:crossBetween val="midCat"/>
      </c:valAx>
      <c:valAx>
        <c:axId val="55081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81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пара а-с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Задание4!$X$3:$X$12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Задание4!$Y$3:$Y$12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30-411D-96F4-66AC5DBF7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30880"/>
        <c:axId val="184727984"/>
      </c:scatterChart>
      <c:valAx>
        <c:axId val="1898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727984"/>
        <c:crosses val="autoZero"/>
        <c:crossBetween val="midCat"/>
      </c:valAx>
      <c:valAx>
        <c:axId val="1847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3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3810</xdr:rowOff>
    </xdr:from>
    <xdr:to>
      <xdr:col>10</xdr:col>
      <xdr:colOff>601980</xdr:colOff>
      <xdr:row>16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1F6096-22FE-440F-9ED9-EA0CB4158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595448</xdr:colOff>
      <xdr:row>0</xdr:row>
      <xdr:rowOff>720090</xdr:rowOff>
    </xdr:from>
    <xdr:to>
      <xdr:col>18</xdr:col>
      <xdr:colOff>609599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7B307B-B4C4-419F-A16E-4C8C29010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</xdr:row>
      <xdr:rowOff>3810</xdr:rowOff>
    </xdr:from>
    <xdr:to>
      <xdr:col>18</xdr:col>
      <xdr:colOff>312420</xdr:colOff>
      <xdr:row>15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894973-AB49-4081-89CB-CD522AA6C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25</xdr:row>
      <xdr:rowOff>166007</xdr:rowOff>
    </xdr:from>
    <xdr:to>
      <xdr:col>15</xdr:col>
      <xdr:colOff>323849</xdr:colOff>
      <xdr:row>39</xdr:row>
      <xdr:rowOff>103414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A251AF-ED79-4ED0-AD43-7199EA3D2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26</xdr:row>
      <xdr:rowOff>9525</xdr:rowOff>
    </xdr:from>
    <xdr:to>
      <xdr:col>23</xdr:col>
      <xdr:colOff>314325</xdr:colOff>
      <xdr:row>39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392C822-2356-41B9-9ECA-02BA95D38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40</xdr:row>
      <xdr:rowOff>85725</xdr:rowOff>
    </xdr:from>
    <xdr:to>
      <xdr:col>15</xdr:col>
      <xdr:colOff>314325</xdr:colOff>
      <xdr:row>54</xdr:row>
      <xdr:rowOff>161925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66002A3-5628-4215-BFC4-48EC81DD4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33131</xdr:colOff>
      <xdr:row>1</xdr:row>
      <xdr:rowOff>6626</xdr:rowOff>
    </xdr:from>
    <xdr:to>
      <xdr:col>12</xdr:col>
      <xdr:colOff>604945</xdr:colOff>
      <xdr:row>4</xdr:row>
      <xdr:rowOff>128273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37DB38-7A32-4429-B294-C5B71F23E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0331" y="556591"/>
          <a:ext cx="3619814" cy="6782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12</xdr:col>
      <xdr:colOff>510848</xdr:colOff>
      <xdr:row>10</xdr:row>
      <xdr:rowOff>99116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510990D-FE58-48E0-95AD-6C78EB64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1645920"/>
          <a:ext cx="3558848" cy="647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opLeftCell="A25" workbookViewId="0">
      <selection activeCell="F22" sqref="F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</v>
      </c>
      <c r="B2">
        <v>17</v>
      </c>
    </row>
    <row r="3" spans="1:2" x14ac:dyDescent="0.3">
      <c r="A3">
        <v>32</v>
      </c>
      <c r="B3">
        <v>7</v>
      </c>
    </row>
    <row r="4" spans="1:2" x14ac:dyDescent="0.3">
      <c r="A4">
        <v>33</v>
      </c>
      <c r="B4">
        <v>17</v>
      </c>
    </row>
    <row r="5" spans="1:2" x14ac:dyDescent="0.3">
      <c r="A5">
        <v>44</v>
      </c>
      <c r="B5">
        <v>28</v>
      </c>
    </row>
    <row r="6" spans="1:2" x14ac:dyDescent="0.3">
      <c r="A6">
        <v>28</v>
      </c>
      <c r="B6">
        <v>27</v>
      </c>
    </row>
    <row r="7" spans="1:2" x14ac:dyDescent="0.3">
      <c r="A7">
        <v>35</v>
      </c>
      <c r="B7">
        <v>31</v>
      </c>
    </row>
    <row r="8" spans="1:2" x14ac:dyDescent="0.3">
      <c r="A8">
        <v>39</v>
      </c>
      <c r="B8">
        <v>20</v>
      </c>
    </row>
    <row r="9" spans="1:2" x14ac:dyDescent="0.3">
      <c r="A9">
        <v>39</v>
      </c>
      <c r="B9">
        <v>17</v>
      </c>
    </row>
    <row r="10" spans="1:2" x14ac:dyDescent="0.3">
      <c r="A10">
        <v>44</v>
      </c>
      <c r="B10">
        <v>35</v>
      </c>
    </row>
    <row r="11" spans="1:2" x14ac:dyDescent="0.3">
      <c r="A11">
        <v>44</v>
      </c>
      <c r="B11">
        <v>43</v>
      </c>
    </row>
    <row r="18" spans="1:7" x14ac:dyDescent="0.3">
      <c r="A18" t="s">
        <v>0</v>
      </c>
      <c r="B18" t="s">
        <v>2</v>
      </c>
      <c r="C18" t="s">
        <v>1</v>
      </c>
      <c r="D18" t="s">
        <v>2</v>
      </c>
    </row>
    <row r="19" spans="1:7" x14ac:dyDescent="0.3">
      <c r="A19">
        <v>19</v>
      </c>
      <c r="B19">
        <v>1</v>
      </c>
      <c r="C19">
        <v>7</v>
      </c>
      <c r="D19">
        <v>1</v>
      </c>
    </row>
    <row r="20" spans="1:7" x14ac:dyDescent="0.3">
      <c r="A20">
        <v>28</v>
      </c>
      <c r="B20">
        <v>2</v>
      </c>
      <c r="C20">
        <v>17</v>
      </c>
      <c r="D20">
        <v>2.5</v>
      </c>
    </row>
    <row r="21" spans="1:7" x14ac:dyDescent="0.3">
      <c r="A21">
        <v>32</v>
      </c>
      <c r="B21">
        <v>3</v>
      </c>
      <c r="C21">
        <v>17</v>
      </c>
      <c r="D21">
        <v>2.5</v>
      </c>
    </row>
    <row r="22" spans="1:7" x14ac:dyDescent="0.3">
      <c r="A22">
        <v>33</v>
      </c>
      <c r="B22">
        <v>4</v>
      </c>
      <c r="C22">
        <v>17</v>
      </c>
      <c r="D22">
        <v>2.5</v>
      </c>
    </row>
    <row r="23" spans="1:7" x14ac:dyDescent="0.3">
      <c r="A23">
        <v>35</v>
      </c>
      <c r="B23">
        <v>5</v>
      </c>
      <c r="C23">
        <v>20</v>
      </c>
      <c r="D23">
        <v>5</v>
      </c>
    </row>
    <row r="24" spans="1:7" x14ac:dyDescent="0.3">
      <c r="A24">
        <v>39</v>
      </c>
      <c r="B24">
        <v>6.5</v>
      </c>
      <c r="C24">
        <v>27</v>
      </c>
      <c r="D24">
        <v>6</v>
      </c>
    </row>
    <row r="25" spans="1:7" x14ac:dyDescent="0.3">
      <c r="A25">
        <v>39</v>
      </c>
      <c r="B25">
        <v>6.5</v>
      </c>
      <c r="C25">
        <v>28</v>
      </c>
      <c r="D25">
        <v>7</v>
      </c>
    </row>
    <row r="26" spans="1:7" x14ac:dyDescent="0.3">
      <c r="A26">
        <v>44</v>
      </c>
      <c r="B26">
        <v>7.5</v>
      </c>
      <c r="C26">
        <v>31</v>
      </c>
      <c r="D26">
        <v>8</v>
      </c>
    </row>
    <row r="27" spans="1:7" x14ac:dyDescent="0.3">
      <c r="A27">
        <v>44</v>
      </c>
      <c r="B27">
        <v>7.5</v>
      </c>
      <c r="C27">
        <v>35</v>
      </c>
      <c r="D27">
        <v>9</v>
      </c>
    </row>
    <row r="28" spans="1:7" x14ac:dyDescent="0.3">
      <c r="A28">
        <v>44</v>
      </c>
      <c r="B28">
        <v>7.5</v>
      </c>
      <c r="C28">
        <v>43</v>
      </c>
      <c r="D28">
        <v>10</v>
      </c>
    </row>
    <row r="31" spans="1:7" ht="43.2" x14ac:dyDescent="0.3">
      <c r="A31" s="1" t="s">
        <v>3</v>
      </c>
      <c r="B31" s="1" t="s">
        <v>0</v>
      </c>
      <c r="C31" s="1" t="s">
        <v>4</v>
      </c>
      <c r="D31" s="1" t="s">
        <v>1</v>
      </c>
      <c r="E31" s="1" t="s">
        <v>5</v>
      </c>
      <c r="F31" s="1" t="s">
        <v>6</v>
      </c>
      <c r="G31" s="1" t="s">
        <v>7</v>
      </c>
    </row>
    <row r="32" spans="1:7" x14ac:dyDescent="0.3">
      <c r="A32" s="5">
        <v>1</v>
      </c>
      <c r="B32" s="5">
        <v>19</v>
      </c>
      <c r="C32" s="5">
        <v>1</v>
      </c>
      <c r="D32" s="5">
        <v>17</v>
      </c>
      <c r="E32" s="5">
        <v>2.5</v>
      </c>
      <c r="F32">
        <f>C32-E32</f>
        <v>-1.5</v>
      </c>
      <c r="G32">
        <f>F32*F32</f>
        <v>2.25</v>
      </c>
    </row>
    <row r="33" spans="1:7" x14ac:dyDescent="0.3">
      <c r="A33" s="5">
        <v>2</v>
      </c>
      <c r="B33" s="5">
        <v>32</v>
      </c>
      <c r="C33" s="5">
        <v>3</v>
      </c>
      <c r="D33" s="5">
        <v>7</v>
      </c>
      <c r="E33" s="5">
        <v>1</v>
      </c>
      <c r="F33">
        <f t="shared" ref="F33:F41" si="0">C33-E33</f>
        <v>2</v>
      </c>
      <c r="G33">
        <f t="shared" ref="G33:G41" si="1">F33*F33</f>
        <v>4</v>
      </c>
    </row>
    <row r="34" spans="1:7" x14ac:dyDescent="0.3">
      <c r="A34" s="5">
        <v>3</v>
      </c>
      <c r="B34" s="5">
        <v>33</v>
      </c>
      <c r="C34" s="5">
        <v>4</v>
      </c>
      <c r="D34" s="5">
        <v>17</v>
      </c>
      <c r="E34" s="5">
        <v>2.5</v>
      </c>
      <c r="F34">
        <f t="shared" si="0"/>
        <v>1.5</v>
      </c>
      <c r="G34">
        <f t="shared" si="1"/>
        <v>2.25</v>
      </c>
    </row>
    <row r="35" spans="1:7" x14ac:dyDescent="0.3">
      <c r="A35" s="5">
        <v>4</v>
      </c>
      <c r="B35" s="5">
        <v>44</v>
      </c>
      <c r="C35" s="5">
        <v>8.67</v>
      </c>
      <c r="D35" s="5">
        <v>28</v>
      </c>
      <c r="E35" s="5">
        <v>7</v>
      </c>
      <c r="F35">
        <f t="shared" si="0"/>
        <v>1.67</v>
      </c>
      <c r="G35">
        <f t="shared" si="1"/>
        <v>2.7888999999999999</v>
      </c>
    </row>
    <row r="36" spans="1:7" x14ac:dyDescent="0.3">
      <c r="A36" s="5">
        <v>5</v>
      </c>
      <c r="B36" s="5">
        <v>28</v>
      </c>
      <c r="C36" s="5">
        <v>2</v>
      </c>
      <c r="D36" s="5">
        <v>27</v>
      </c>
      <c r="E36" s="5">
        <v>6</v>
      </c>
      <c r="F36">
        <f t="shared" si="0"/>
        <v>-4</v>
      </c>
      <c r="G36">
        <f t="shared" si="1"/>
        <v>16</v>
      </c>
    </row>
    <row r="37" spans="1:7" x14ac:dyDescent="0.3">
      <c r="A37" s="5">
        <v>6</v>
      </c>
      <c r="B37" s="5">
        <v>35</v>
      </c>
      <c r="C37" s="5">
        <v>5</v>
      </c>
      <c r="D37" s="5">
        <v>31</v>
      </c>
      <c r="E37" s="5">
        <v>8</v>
      </c>
      <c r="F37">
        <f t="shared" si="0"/>
        <v>-3</v>
      </c>
      <c r="G37">
        <f t="shared" si="1"/>
        <v>9</v>
      </c>
    </row>
    <row r="38" spans="1:7" x14ac:dyDescent="0.3">
      <c r="A38" s="5">
        <v>7</v>
      </c>
      <c r="B38" s="5">
        <v>39</v>
      </c>
      <c r="C38" s="5">
        <v>6.5</v>
      </c>
      <c r="D38" s="5">
        <v>20</v>
      </c>
      <c r="E38" s="5">
        <v>5</v>
      </c>
      <c r="F38">
        <f t="shared" si="0"/>
        <v>1.5</v>
      </c>
      <c r="G38">
        <f t="shared" si="1"/>
        <v>2.25</v>
      </c>
    </row>
    <row r="39" spans="1:7" x14ac:dyDescent="0.3">
      <c r="A39" s="5">
        <v>8</v>
      </c>
      <c r="B39" s="5">
        <v>39</v>
      </c>
      <c r="C39" s="5">
        <v>6.5</v>
      </c>
      <c r="D39" s="5">
        <v>17</v>
      </c>
      <c r="E39" s="5">
        <v>2.5</v>
      </c>
      <c r="F39">
        <f t="shared" si="0"/>
        <v>4</v>
      </c>
      <c r="G39">
        <f t="shared" si="1"/>
        <v>16</v>
      </c>
    </row>
    <row r="40" spans="1:7" x14ac:dyDescent="0.3">
      <c r="A40" s="5">
        <v>9</v>
      </c>
      <c r="B40" s="5">
        <v>44</v>
      </c>
      <c r="C40" s="5">
        <v>8.67</v>
      </c>
      <c r="D40" s="5">
        <v>35</v>
      </c>
      <c r="E40" s="5">
        <v>9</v>
      </c>
      <c r="F40">
        <f t="shared" si="0"/>
        <v>-0.33000000000000007</v>
      </c>
      <c r="G40">
        <f t="shared" si="1"/>
        <v>0.10890000000000005</v>
      </c>
    </row>
    <row r="41" spans="1:7" x14ac:dyDescent="0.3">
      <c r="A41" s="5">
        <v>10</v>
      </c>
      <c r="B41" s="5">
        <v>44</v>
      </c>
      <c r="C41" s="5">
        <v>8.67</v>
      </c>
      <c r="D41" s="5">
        <v>43</v>
      </c>
      <c r="E41" s="5">
        <v>10</v>
      </c>
      <c r="F41">
        <f t="shared" si="0"/>
        <v>-1.33</v>
      </c>
      <c r="G41">
        <f t="shared" si="1"/>
        <v>1.7689000000000001</v>
      </c>
    </row>
    <row r="43" spans="1:7" x14ac:dyDescent="0.3">
      <c r="E43" t="s">
        <v>8</v>
      </c>
      <c r="G43">
        <f>SUM(G32:G41)</f>
        <v>56.416699999999999</v>
      </c>
    </row>
    <row r="44" spans="1:7" x14ac:dyDescent="0.3">
      <c r="E44" t="s">
        <v>9</v>
      </c>
      <c r="G44">
        <f xml:space="preserve"> 1 - (6*G43)/(10*(10*10-1))</f>
        <v>0.65808060606060603</v>
      </c>
    </row>
  </sheetData>
  <sortState xmlns:xlrd2="http://schemas.microsoft.com/office/spreadsheetml/2017/richdata2" ref="C19:C28">
    <sortCondition ref="C19:C2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96DF-0211-4206-9029-693AE8E6EDDE}">
  <dimension ref="A1:J14"/>
  <sheetViews>
    <sheetView zoomScale="70" zoomScaleNormal="70" workbookViewId="0">
      <selection activeCell="G15" sqref="G15"/>
    </sheetView>
  </sheetViews>
  <sheetFormatPr defaultRowHeight="14.4" x14ac:dyDescent="0.3"/>
  <sheetData>
    <row r="1" spans="1:10" ht="57.6" x14ac:dyDescent="0.3">
      <c r="A1" s="1" t="s">
        <v>10</v>
      </c>
      <c r="B1" s="1" t="s">
        <v>11</v>
      </c>
      <c r="C1" s="1" t="s">
        <v>4</v>
      </c>
      <c r="D1" s="1" t="s">
        <v>12</v>
      </c>
      <c r="E1" s="1" t="s">
        <v>5</v>
      </c>
      <c r="F1" s="1" t="s">
        <v>13</v>
      </c>
      <c r="G1" s="1" t="s">
        <v>14</v>
      </c>
    </row>
    <row r="2" spans="1:10" x14ac:dyDescent="0.3">
      <c r="A2" s="2">
        <v>1</v>
      </c>
      <c r="B2" s="2">
        <v>3</v>
      </c>
      <c r="C2" s="2">
        <v>3</v>
      </c>
      <c r="D2" s="2">
        <v>2</v>
      </c>
      <c r="E2" s="2">
        <v>2</v>
      </c>
      <c r="F2" s="2" t="s">
        <v>15</v>
      </c>
      <c r="G2" s="2">
        <v>1</v>
      </c>
      <c r="I2" s="2">
        <v>3</v>
      </c>
      <c r="J2" s="2">
        <v>2</v>
      </c>
    </row>
    <row r="3" spans="1:10" x14ac:dyDescent="0.3">
      <c r="A3" s="2">
        <v>2</v>
      </c>
      <c r="B3" s="2">
        <v>1</v>
      </c>
      <c r="C3" s="2">
        <v>1</v>
      </c>
      <c r="D3" s="2">
        <v>1</v>
      </c>
      <c r="E3" s="2">
        <v>1</v>
      </c>
      <c r="F3" s="2" t="s">
        <v>16</v>
      </c>
      <c r="G3" s="2">
        <v>0</v>
      </c>
      <c r="I3" s="2">
        <v>1</v>
      </c>
      <c r="J3" s="2">
        <v>1</v>
      </c>
    </row>
    <row r="4" spans="1:10" x14ac:dyDescent="0.3">
      <c r="A4" s="2">
        <v>3</v>
      </c>
      <c r="B4" s="2">
        <v>4</v>
      </c>
      <c r="C4" s="2">
        <v>4</v>
      </c>
      <c r="D4" s="2">
        <v>7</v>
      </c>
      <c r="E4" s="2">
        <v>7</v>
      </c>
      <c r="F4" s="2" t="s">
        <v>17</v>
      </c>
      <c r="G4" s="2">
        <v>9</v>
      </c>
      <c r="I4" s="2">
        <v>4</v>
      </c>
      <c r="J4" s="2">
        <v>7</v>
      </c>
    </row>
    <row r="5" spans="1:10" x14ac:dyDescent="0.3">
      <c r="A5" s="2">
        <v>4</v>
      </c>
      <c r="B5" s="2">
        <v>2</v>
      </c>
      <c r="C5" s="2">
        <v>2</v>
      </c>
      <c r="D5" s="2">
        <v>4</v>
      </c>
      <c r="E5" s="2">
        <v>4</v>
      </c>
      <c r="F5" s="2" t="s">
        <v>18</v>
      </c>
      <c r="G5" s="2">
        <v>4</v>
      </c>
      <c r="I5" s="2">
        <v>2</v>
      </c>
      <c r="J5" s="2">
        <v>4</v>
      </c>
    </row>
    <row r="6" spans="1:10" x14ac:dyDescent="0.3">
      <c r="A6" s="2">
        <v>5</v>
      </c>
      <c r="B6" s="2">
        <v>8</v>
      </c>
      <c r="C6" s="2">
        <v>8</v>
      </c>
      <c r="D6" s="2">
        <v>5</v>
      </c>
      <c r="E6" s="2">
        <v>5</v>
      </c>
      <c r="F6" s="2" t="s">
        <v>19</v>
      </c>
      <c r="G6" s="2">
        <v>9</v>
      </c>
      <c r="I6" s="2">
        <v>8</v>
      </c>
      <c r="J6" s="2">
        <v>5</v>
      </c>
    </row>
    <row r="7" spans="1:10" x14ac:dyDescent="0.3">
      <c r="A7" s="2">
        <v>6</v>
      </c>
      <c r="B7" s="2">
        <v>6</v>
      </c>
      <c r="C7" s="2">
        <v>6</v>
      </c>
      <c r="D7" s="2">
        <v>3</v>
      </c>
      <c r="E7" s="2">
        <v>3</v>
      </c>
      <c r="F7" s="2" t="s">
        <v>20</v>
      </c>
      <c r="G7" s="2">
        <v>9</v>
      </c>
      <c r="I7" s="2">
        <v>6</v>
      </c>
      <c r="J7" s="2">
        <v>3</v>
      </c>
    </row>
    <row r="8" spans="1:10" x14ac:dyDescent="0.3">
      <c r="A8" s="2">
        <v>7</v>
      </c>
      <c r="B8" s="2">
        <v>9</v>
      </c>
      <c r="C8" s="2">
        <v>9</v>
      </c>
      <c r="D8" s="2">
        <v>9</v>
      </c>
      <c r="E8" s="2">
        <v>9</v>
      </c>
      <c r="F8" s="2" t="s">
        <v>21</v>
      </c>
      <c r="G8" s="2">
        <v>0</v>
      </c>
      <c r="I8" s="2">
        <v>9</v>
      </c>
      <c r="J8" s="2">
        <v>9</v>
      </c>
    </row>
    <row r="9" spans="1:10" x14ac:dyDescent="0.3">
      <c r="A9" s="2">
        <v>8</v>
      </c>
      <c r="B9" s="2">
        <v>5</v>
      </c>
      <c r="C9" s="2">
        <v>5</v>
      </c>
      <c r="D9" s="2">
        <v>8</v>
      </c>
      <c r="E9" s="2">
        <v>8</v>
      </c>
      <c r="F9" s="2" t="s">
        <v>22</v>
      </c>
      <c r="G9" s="2">
        <v>9</v>
      </c>
      <c r="I9" s="2">
        <v>5</v>
      </c>
      <c r="J9" s="2">
        <v>8</v>
      </c>
    </row>
    <row r="10" spans="1:10" ht="28.8" x14ac:dyDescent="0.3">
      <c r="A10" s="2">
        <v>9</v>
      </c>
      <c r="B10" s="2">
        <v>10</v>
      </c>
      <c r="C10" s="2">
        <v>10</v>
      </c>
      <c r="D10" s="2">
        <v>10</v>
      </c>
      <c r="E10" s="2">
        <v>10</v>
      </c>
      <c r="F10" s="2" t="s">
        <v>23</v>
      </c>
      <c r="G10" s="2">
        <v>0</v>
      </c>
      <c r="I10" s="2">
        <v>10</v>
      </c>
      <c r="J10" s="2">
        <v>10</v>
      </c>
    </row>
    <row r="11" spans="1:10" x14ac:dyDescent="0.3">
      <c r="A11" s="2">
        <v>10</v>
      </c>
      <c r="B11" s="2">
        <v>7</v>
      </c>
      <c r="C11" s="2">
        <v>7</v>
      </c>
      <c r="D11" s="2">
        <v>6</v>
      </c>
      <c r="E11" s="2">
        <v>6</v>
      </c>
      <c r="F11" s="2" t="s">
        <v>24</v>
      </c>
      <c r="G11" s="2">
        <v>1</v>
      </c>
      <c r="I11" s="2">
        <v>7</v>
      </c>
      <c r="J11" s="2">
        <v>6</v>
      </c>
    </row>
    <row r="13" spans="1:10" x14ac:dyDescent="0.3">
      <c r="F13" s="2" t="s">
        <v>25</v>
      </c>
      <c r="G13">
        <f>SUM(G2:G11)</f>
        <v>42</v>
      </c>
    </row>
    <row r="14" spans="1:10" x14ac:dyDescent="0.3">
      <c r="F14" s="2" t="s">
        <v>26</v>
      </c>
      <c r="G14">
        <f>1-(6*G13)/(10*(10*10-1))</f>
        <v>0.74545454545454548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004B-DDA6-43D3-926B-5EAF87D3734B}">
  <dimension ref="A1:J14"/>
  <sheetViews>
    <sheetView topLeftCell="A2" zoomScale="85" zoomScaleNormal="85" workbookViewId="0">
      <selection activeCell="G15" sqref="G15"/>
    </sheetView>
  </sheetViews>
  <sheetFormatPr defaultRowHeight="14.4" x14ac:dyDescent="0.3"/>
  <sheetData>
    <row r="1" spans="1:10" ht="57.6" x14ac:dyDescent="0.3">
      <c r="A1" s="1" t="s">
        <v>3</v>
      </c>
      <c r="B1" s="1" t="s">
        <v>27</v>
      </c>
      <c r="C1" s="1" t="s">
        <v>4</v>
      </c>
      <c r="D1" s="1" t="s">
        <v>28</v>
      </c>
      <c r="E1" s="1" t="s">
        <v>5</v>
      </c>
      <c r="F1" s="1" t="s">
        <v>13</v>
      </c>
      <c r="G1" s="1" t="s">
        <v>14</v>
      </c>
    </row>
    <row r="2" spans="1:10" x14ac:dyDescent="0.3">
      <c r="A2" s="2">
        <v>1</v>
      </c>
      <c r="B2" s="2">
        <v>32</v>
      </c>
      <c r="C2" s="2">
        <v>10</v>
      </c>
      <c r="D2" s="2">
        <v>12</v>
      </c>
      <c r="E2" s="2">
        <v>4</v>
      </c>
      <c r="F2" s="2" t="s">
        <v>29</v>
      </c>
      <c r="G2" s="2">
        <v>36</v>
      </c>
      <c r="I2" s="2">
        <v>32</v>
      </c>
      <c r="J2" s="2">
        <v>12</v>
      </c>
    </row>
    <row r="3" spans="1:10" ht="28.8" x14ac:dyDescent="0.3">
      <c r="A3" s="2">
        <v>2</v>
      </c>
      <c r="B3" s="2">
        <v>15</v>
      </c>
      <c r="C3" s="2">
        <v>1</v>
      </c>
      <c r="D3" s="2">
        <v>24</v>
      </c>
      <c r="E3" s="2">
        <v>10</v>
      </c>
      <c r="F3" s="2" t="s">
        <v>30</v>
      </c>
      <c r="G3" s="2">
        <v>81</v>
      </c>
      <c r="I3" s="2">
        <v>15</v>
      </c>
      <c r="J3" s="2">
        <v>24</v>
      </c>
    </row>
    <row r="4" spans="1:10" x14ac:dyDescent="0.3">
      <c r="A4" s="2">
        <v>3</v>
      </c>
      <c r="B4" s="2">
        <v>16</v>
      </c>
      <c r="C4" s="2">
        <v>2</v>
      </c>
      <c r="D4" s="2">
        <v>23</v>
      </c>
      <c r="E4" s="2">
        <v>9</v>
      </c>
      <c r="F4" s="2" t="s">
        <v>31</v>
      </c>
      <c r="G4" s="2">
        <v>49</v>
      </c>
      <c r="I4" s="2">
        <v>16</v>
      </c>
      <c r="J4" s="2">
        <v>23</v>
      </c>
    </row>
    <row r="5" spans="1:10" x14ac:dyDescent="0.3">
      <c r="A5" s="2">
        <v>4</v>
      </c>
      <c r="B5" s="2">
        <v>18</v>
      </c>
      <c r="C5" s="2">
        <v>3</v>
      </c>
      <c r="D5" s="2">
        <v>21</v>
      </c>
      <c r="E5" s="2">
        <v>8</v>
      </c>
      <c r="F5" s="2" t="s">
        <v>32</v>
      </c>
      <c r="G5" s="2">
        <v>25</v>
      </c>
      <c r="I5" s="2">
        <v>18</v>
      </c>
      <c r="J5" s="2">
        <v>21</v>
      </c>
    </row>
    <row r="6" spans="1:10" x14ac:dyDescent="0.3">
      <c r="A6" s="2">
        <v>5</v>
      </c>
      <c r="B6" s="2">
        <v>20</v>
      </c>
      <c r="C6" s="2">
        <v>4</v>
      </c>
      <c r="D6" s="2">
        <v>20</v>
      </c>
      <c r="E6" s="2">
        <v>7</v>
      </c>
      <c r="F6" s="2" t="s">
        <v>17</v>
      </c>
      <c r="G6" s="2">
        <v>9</v>
      </c>
      <c r="I6" s="2">
        <v>20</v>
      </c>
      <c r="J6" s="2">
        <v>20</v>
      </c>
    </row>
    <row r="7" spans="1:10" x14ac:dyDescent="0.3">
      <c r="A7" s="2">
        <v>6</v>
      </c>
      <c r="B7" s="2">
        <v>28</v>
      </c>
      <c r="C7" s="2">
        <v>8</v>
      </c>
      <c r="D7" s="2">
        <v>9</v>
      </c>
      <c r="E7" s="2">
        <v>1</v>
      </c>
      <c r="F7" s="2" t="s">
        <v>33</v>
      </c>
      <c r="G7" s="2">
        <v>49</v>
      </c>
      <c r="I7" s="2">
        <v>28</v>
      </c>
      <c r="J7" s="2">
        <v>9</v>
      </c>
    </row>
    <row r="8" spans="1:10" x14ac:dyDescent="0.3">
      <c r="A8" s="2">
        <v>7</v>
      </c>
      <c r="B8" s="2">
        <v>21</v>
      </c>
      <c r="C8" s="2">
        <v>5</v>
      </c>
      <c r="D8" s="2">
        <v>11</v>
      </c>
      <c r="E8" s="2">
        <v>3</v>
      </c>
      <c r="F8" s="2" t="s">
        <v>34</v>
      </c>
      <c r="G8" s="2">
        <v>4</v>
      </c>
      <c r="I8" s="2">
        <v>21</v>
      </c>
      <c r="J8" s="2">
        <v>11</v>
      </c>
    </row>
    <row r="9" spans="1:10" x14ac:dyDescent="0.3">
      <c r="A9" s="2">
        <v>8</v>
      </c>
      <c r="B9" s="2">
        <v>29</v>
      </c>
      <c r="C9" s="2">
        <v>9</v>
      </c>
      <c r="D9" s="2">
        <v>10</v>
      </c>
      <c r="E9" s="2">
        <v>2</v>
      </c>
      <c r="F9" s="2" t="s">
        <v>35</v>
      </c>
      <c r="G9" s="2">
        <v>49</v>
      </c>
      <c r="I9" s="2">
        <v>29</v>
      </c>
      <c r="J9" s="2">
        <v>10</v>
      </c>
    </row>
    <row r="10" spans="1:10" x14ac:dyDescent="0.3">
      <c r="A10" s="2">
        <v>9</v>
      </c>
      <c r="B10" s="2">
        <v>23</v>
      </c>
      <c r="C10" s="2">
        <v>7</v>
      </c>
      <c r="D10" s="2">
        <v>15</v>
      </c>
      <c r="E10" s="2">
        <v>5</v>
      </c>
      <c r="F10" s="2" t="s">
        <v>36</v>
      </c>
      <c r="G10" s="2">
        <v>4</v>
      </c>
      <c r="I10" s="2">
        <v>23</v>
      </c>
      <c r="J10" s="2">
        <v>15</v>
      </c>
    </row>
    <row r="11" spans="1:10" x14ac:dyDescent="0.3">
      <c r="A11" s="2">
        <v>10</v>
      </c>
      <c r="B11" s="2">
        <v>17</v>
      </c>
      <c r="C11" s="2">
        <v>6</v>
      </c>
      <c r="D11" s="2">
        <v>16</v>
      </c>
      <c r="E11" s="2">
        <v>6</v>
      </c>
      <c r="F11" s="2" t="s">
        <v>37</v>
      </c>
      <c r="G11" s="2">
        <v>0</v>
      </c>
      <c r="I11" s="2">
        <v>17</v>
      </c>
      <c r="J11" s="2">
        <v>16</v>
      </c>
    </row>
    <row r="13" spans="1:10" x14ac:dyDescent="0.3">
      <c r="F13" s="2" t="s">
        <v>25</v>
      </c>
      <c r="G13">
        <f>SUM(G2:G11)</f>
        <v>306</v>
      </c>
    </row>
    <row r="14" spans="1:10" x14ac:dyDescent="0.3">
      <c r="F14" s="2" t="s">
        <v>26</v>
      </c>
      <c r="G14">
        <f>1-(6*G13)/(10*(10*10-1))</f>
        <v>-0.8545454545454545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FA5E-D136-4C14-B505-BBE42FD2D538}">
  <dimension ref="A1:Y31"/>
  <sheetViews>
    <sheetView topLeftCell="D12" zoomScale="70" zoomScaleNormal="70" workbookViewId="0">
      <selection activeCell="X47" sqref="X47"/>
    </sheetView>
  </sheetViews>
  <sheetFormatPr defaultRowHeight="14.4" x14ac:dyDescent="0.3"/>
  <sheetData>
    <row r="1" spans="1:25" x14ac:dyDescent="0.3">
      <c r="A1" t="s">
        <v>49</v>
      </c>
      <c r="I1" t="s">
        <v>63</v>
      </c>
    </row>
    <row r="2" spans="1:25" ht="57.6" x14ac:dyDescent="0.3">
      <c r="A2" s="1" t="s">
        <v>38</v>
      </c>
      <c r="B2" s="1" t="s">
        <v>39</v>
      </c>
      <c r="C2" s="1" t="s">
        <v>4</v>
      </c>
      <c r="D2" s="1" t="s">
        <v>40</v>
      </c>
      <c r="E2" s="1" t="s">
        <v>5</v>
      </c>
      <c r="F2" s="1" t="s">
        <v>13</v>
      </c>
      <c r="G2" s="1" t="s">
        <v>14</v>
      </c>
      <c r="I2" s="1" t="s">
        <v>38</v>
      </c>
      <c r="J2" s="1" t="s">
        <v>40</v>
      </c>
      <c r="K2" s="1" t="s">
        <v>5</v>
      </c>
      <c r="L2" s="1" t="s">
        <v>52</v>
      </c>
      <c r="M2" s="1" t="s">
        <v>53</v>
      </c>
      <c r="N2" s="1" t="s">
        <v>13</v>
      </c>
      <c r="O2" s="1" t="s">
        <v>14</v>
      </c>
    </row>
    <row r="3" spans="1:25" x14ac:dyDescent="0.3">
      <c r="A3" s="2">
        <v>1</v>
      </c>
      <c r="B3" s="2">
        <v>1</v>
      </c>
      <c r="C3" s="2">
        <v>1</v>
      </c>
      <c r="D3" s="2">
        <v>3</v>
      </c>
      <c r="E3" s="2">
        <v>4</v>
      </c>
      <c r="F3" s="2" t="s">
        <v>41</v>
      </c>
      <c r="G3" s="2">
        <v>9</v>
      </c>
      <c r="I3" s="2">
        <v>1</v>
      </c>
      <c r="J3" s="2">
        <v>3</v>
      </c>
      <c r="K3" s="2">
        <v>4</v>
      </c>
      <c r="L3" s="2">
        <v>6</v>
      </c>
      <c r="M3" s="2">
        <v>3</v>
      </c>
      <c r="N3" s="2" t="s">
        <v>64</v>
      </c>
      <c r="O3" s="2">
        <v>1</v>
      </c>
      <c r="R3" s="2">
        <v>1</v>
      </c>
      <c r="S3" s="2">
        <v>3</v>
      </c>
      <c r="U3" s="2">
        <v>3</v>
      </c>
      <c r="V3" s="2">
        <v>6</v>
      </c>
      <c r="X3" s="2">
        <v>1</v>
      </c>
      <c r="Y3" s="2">
        <v>6</v>
      </c>
    </row>
    <row r="4" spans="1:25" ht="28.8" x14ac:dyDescent="0.3">
      <c r="A4" s="2">
        <v>2</v>
      </c>
      <c r="B4" s="2">
        <v>2</v>
      </c>
      <c r="C4" s="2">
        <v>2</v>
      </c>
      <c r="D4" s="2">
        <v>10</v>
      </c>
      <c r="E4" s="2">
        <v>10</v>
      </c>
      <c r="F4" s="2" t="s">
        <v>42</v>
      </c>
      <c r="G4" s="2">
        <v>64</v>
      </c>
      <c r="I4" s="2">
        <v>2</v>
      </c>
      <c r="J4" s="2">
        <v>10</v>
      </c>
      <c r="K4" s="2">
        <v>10</v>
      </c>
      <c r="L4" s="2">
        <v>2</v>
      </c>
      <c r="M4" s="2">
        <v>1</v>
      </c>
      <c r="N4" s="2" t="s">
        <v>65</v>
      </c>
      <c r="O4" s="2">
        <v>81</v>
      </c>
      <c r="R4" s="2">
        <v>2</v>
      </c>
      <c r="S4" s="2">
        <v>10</v>
      </c>
      <c r="U4" s="2">
        <v>10</v>
      </c>
      <c r="V4" s="2">
        <v>2</v>
      </c>
      <c r="X4" s="2">
        <v>2</v>
      </c>
      <c r="Y4" s="2">
        <v>2</v>
      </c>
    </row>
    <row r="5" spans="1:25" x14ac:dyDescent="0.3">
      <c r="A5" s="2">
        <v>3</v>
      </c>
      <c r="B5" s="2">
        <v>3</v>
      </c>
      <c r="C5" s="2">
        <v>3</v>
      </c>
      <c r="D5" s="2">
        <v>7</v>
      </c>
      <c r="E5" s="2">
        <v>7</v>
      </c>
      <c r="F5" s="2" t="s">
        <v>43</v>
      </c>
      <c r="G5" s="2">
        <v>16</v>
      </c>
      <c r="I5" s="2">
        <v>3</v>
      </c>
      <c r="J5" s="2">
        <v>7</v>
      </c>
      <c r="K5" s="2">
        <v>7</v>
      </c>
      <c r="L5" s="2">
        <v>1</v>
      </c>
      <c r="M5" s="2">
        <v>2</v>
      </c>
      <c r="N5" s="2" t="s">
        <v>66</v>
      </c>
      <c r="O5" s="2">
        <v>25</v>
      </c>
      <c r="R5" s="2">
        <v>3</v>
      </c>
      <c r="S5" s="2">
        <v>7</v>
      </c>
      <c r="U5" s="2">
        <v>7</v>
      </c>
      <c r="V5" s="2">
        <v>1</v>
      </c>
      <c r="X5" s="2">
        <v>3</v>
      </c>
      <c r="Y5" s="2">
        <v>1</v>
      </c>
    </row>
    <row r="6" spans="1:25" x14ac:dyDescent="0.3">
      <c r="A6" s="2">
        <v>4</v>
      </c>
      <c r="B6" s="2">
        <v>4</v>
      </c>
      <c r="C6" s="2">
        <v>4</v>
      </c>
      <c r="D6" s="2">
        <v>2</v>
      </c>
      <c r="E6" s="2">
        <v>2</v>
      </c>
      <c r="F6" s="2" t="s">
        <v>44</v>
      </c>
      <c r="G6" s="2">
        <v>4</v>
      </c>
      <c r="I6" s="2">
        <v>4</v>
      </c>
      <c r="J6" s="2">
        <v>2</v>
      </c>
      <c r="K6" s="2">
        <v>2</v>
      </c>
      <c r="L6" s="2">
        <v>3</v>
      </c>
      <c r="M6" s="2">
        <v>4</v>
      </c>
      <c r="N6" s="2" t="s">
        <v>18</v>
      </c>
      <c r="O6" s="2">
        <v>4</v>
      </c>
      <c r="R6" s="2">
        <v>4</v>
      </c>
      <c r="S6" s="2">
        <v>2</v>
      </c>
      <c r="U6" s="2">
        <v>2</v>
      </c>
      <c r="V6" s="2">
        <v>3</v>
      </c>
      <c r="X6" s="2">
        <v>4</v>
      </c>
      <c r="Y6" s="2">
        <v>3</v>
      </c>
    </row>
    <row r="7" spans="1:25" x14ac:dyDescent="0.3">
      <c r="A7" s="2">
        <v>5</v>
      </c>
      <c r="B7" s="2">
        <v>5</v>
      </c>
      <c r="C7" s="2">
        <v>5</v>
      </c>
      <c r="D7" s="2">
        <v>8</v>
      </c>
      <c r="E7" s="2">
        <v>8</v>
      </c>
      <c r="F7" s="2" t="s">
        <v>22</v>
      </c>
      <c r="G7" s="2">
        <v>9</v>
      </c>
      <c r="I7" s="2">
        <v>5</v>
      </c>
      <c r="J7" s="2">
        <v>8</v>
      </c>
      <c r="K7" s="2">
        <v>8</v>
      </c>
      <c r="L7" s="2">
        <v>9</v>
      </c>
      <c r="M7" s="2">
        <v>9</v>
      </c>
      <c r="N7" s="2" t="s">
        <v>46</v>
      </c>
      <c r="O7" s="2">
        <v>1</v>
      </c>
      <c r="R7" s="2">
        <v>5</v>
      </c>
      <c r="S7" s="2">
        <v>8</v>
      </c>
      <c r="U7" s="2">
        <v>8</v>
      </c>
      <c r="V7" s="2">
        <v>9</v>
      </c>
      <c r="X7" s="2">
        <v>5</v>
      </c>
      <c r="Y7" s="2">
        <v>9</v>
      </c>
    </row>
    <row r="8" spans="1:25" x14ac:dyDescent="0.3">
      <c r="A8" s="2">
        <v>6</v>
      </c>
      <c r="B8" s="2">
        <v>6</v>
      </c>
      <c r="C8" s="2">
        <v>6</v>
      </c>
      <c r="D8" s="2">
        <v>5</v>
      </c>
      <c r="E8" s="2">
        <v>5</v>
      </c>
      <c r="F8" s="2" t="s">
        <v>45</v>
      </c>
      <c r="G8" s="2">
        <v>1</v>
      </c>
      <c r="I8" s="2">
        <v>6</v>
      </c>
      <c r="J8" s="2">
        <v>5</v>
      </c>
      <c r="K8" s="2">
        <v>5</v>
      </c>
      <c r="L8" s="2">
        <v>4</v>
      </c>
      <c r="M8" s="2">
        <v>5</v>
      </c>
      <c r="N8" s="2" t="s">
        <v>67</v>
      </c>
      <c r="O8" s="2">
        <v>0</v>
      </c>
      <c r="R8" s="2">
        <v>6</v>
      </c>
      <c r="S8" s="2">
        <v>5</v>
      </c>
      <c r="U8" s="2">
        <v>5</v>
      </c>
      <c r="V8" s="2">
        <v>4</v>
      </c>
      <c r="X8" s="2">
        <v>6</v>
      </c>
      <c r="Y8" s="2">
        <v>4</v>
      </c>
    </row>
    <row r="9" spans="1:25" x14ac:dyDescent="0.3">
      <c r="A9" s="2">
        <v>7</v>
      </c>
      <c r="B9" s="2">
        <v>7</v>
      </c>
      <c r="C9" s="2">
        <v>7</v>
      </c>
      <c r="D9" s="2">
        <v>6</v>
      </c>
      <c r="E9" s="2">
        <v>6</v>
      </c>
      <c r="F9" s="2" t="s">
        <v>24</v>
      </c>
      <c r="G9" s="2">
        <v>1</v>
      </c>
      <c r="I9" s="2">
        <v>7</v>
      </c>
      <c r="J9" s="2">
        <v>6</v>
      </c>
      <c r="K9" s="2">
        <v>6</v>
      </c>
      <c r="L9" s="2">
        <v>5</v>
      </c>
      <c r="M9" s="2">
        <v>6</v>
      </c>
      <c r="N9" s="2" t="s">
        <v>37</v>
      </c>
      <c r="O9" s="2">
        <v>0</v>
      </c>
      <c r="R9" s="2">
        <v>7</v>
      </c>
      <c r="S9" s="2">
        <v>6</v>
      </c>
      <c r="U9" s="2">
        <v>6</v>
      </c>
      <c r="V9" s="2">
        <v>5</v>
      </c>
      <c r="X9" s="2">
        <v>7</v>
      </c>
      <c r="Y9" s="2">
        <v>5</v>
      </c>
    </row>
    <row r="10" spans="1:25" x14ac:dyDescent="0.3">
      <c r="A10" s="2">
        <v>8</v>
      </c>
      <c r="B10" s="2">
        <v>8</v>
      </c>
      <c r="C10" s="2">
        <v>8</v>
      </c>
      <c r="D10" s="2">
        <v>9</v>
      </c>
      <c r="E10" s="2">
        <v>9</v>
      </c>
      <c r="F10" s="2" t="s">
        <v>46</v>
      </c>
      <c r="G10" s="2">
        <v>1</v>
      </c>
      <c r="I10" s="2">
        <v>8</v>
      </c>
      <c r="J10" s="2">
        <v>9</v>
      </c>
      <c r="K10" s="2">
        <v>9</v>
      </c>
      <c r="L10" s="2">
        <v>7</v>
      </c>
      <c r="M10" s="2">
        <v>8</v>
      </c>
      <c r="N10" s="2" t="s">
        <v>68</v>
      </c>
      <c r="O10" s="2">
        <v>1</v>
      </c>
      <c r="R10" s="2">
        <v>8</v>
      </c>
      <c r="S10" s="2">
        <v>9</v>
      </c>
      <c r="U10" s="2">
        <v>9</v>
      </c>
      <c r="V10" s="2">
        <v>7</v>
      </c>
      <c r="X10" s="2">
        <v>8</v>
      </c>
      <c r="Y10" s="2">
        <v>7</v>
      </c>
    </row>
    <row r="11" spans="1:25" ht="28.8" x14ac:dyDescent="0.3">
      <c r="A11" s="2">
        <v>9</v>
      </c>
      <c r="B11" s="2">
        <v>9</v>
      </c>
      <c r="C11" s="2">
        <v>9</v>
      </c>
      <c r="D11" s="2">
        <v>1</v>
      </c>
      <c r="E11" s="2">
        <v>1</v>
      </c>
      <c r="F11" s="2" t="s">
        <v>47</v>
      </c>
      <c r="G11" s="2">
        <v>64</v>
      </c>
      <c r="I11" s="2">
        <v>9</v>
      </c>
      <c r="J11" s="2">
        <v>1</v>
      </c>
      <c r="K11" s="2">
        <v>1</v>
      </c>
      <c r="L11" s="2">
        <v>10</v>
      </c>
      <c r="M11" s="2">
        <v>10</v>
      </c>
      <c r="N11" s="2" t="s">
        <v>30</v>
      </c>
      <c r="O11" s="2">
        <v>81</v>
      </c>
      <c r="R11" s="2">
        <v>9</v>
      </c>
      <c r="S11" s="2">
        <v>1</v>
      </c>
      <c r="U11" s="2">
        <v>1</v>
      </c>
      <c r="V11" s="2">
        <v>10</v>
      </c>
      <c r="X11" s="2">
        <v>9</v>
      </c>
      <c r="Y11" s="2">
        <v>10</v>
      </c>
    </row>
    <row r="12" spans="1:25" x14ac:dyDescent="0.3">
      <c r="A12" s="2">
        <v>10</v>
      </c>
      <c r="B12" s="2">
        <v>10</v>
      </c>
      <c r="C12" s="2">
        <v>10</v>
      </c>
      <c r="D12" s="2">
        <v>4</v>
      </c>
      <c r="E12" s="2">
        <v>3</v>
      </c>
      <c r="F12" s="2" t="s">
        <v>48</v>
      </c>
      <c r="G12" s="2">
        <v>49</v>
      </c>
      <c r="I12" s="2">
        <v>10</v>
      </c>
      <c r="J12" s="2">
        <v>4</v>
      </c>
      <c r="K12" s="2">
        <v>3</v>
      </c>
      <c r="L12" s="2">
        <v>8</v>
      </c>
      <c r="M12" s="2">
        <v>7</v>
      </c>
      <c r="N12" s="2" t="s">
        <v>43</v>
      </c>
      <c r="O12" s="2">
        <v>16</v>
      </c>
      <c r="R12" s="2">
        <v>10</v>
      </c>
      <c r="S12" s="2">
        <v>4</v>
      </c>
      <c r="U12" s="2">
        <v>4</v>
      </c>
      <c r="V12" s="2">
        <v>8</v>
      </c>
      <c r="X12" s="2">
        <v>10</v>
      </c>
      <c r="Y12" s="2">
        <v>8</v>
      </c>
    </row>
    <row r="14" spans="1:25" x14ac:dyDescent="0.3">
      <c r="F14" s="2" t="s">
        <v>50</v>
      </c>
      <c r="G14" s="2">
        <v>218</v>
      </c>
      <c r="N14" s="2" t="s">
        <v>50</v>
      </c>
      <c r="O14">
        <v>210</v>
      </c>
    </row>
    <row r="15" spans="1:25" x14ac:dyDescent="0.3">
      <c r="F15" s="2" t="s">
        <v>26</v>
      </c>
      <c r="G15" s="6" t="s">
        <v>51</v>
      </c>
      <c r="N15" s="2" t="s">
        <v>26</v>
      </c>
      <c r="O15" t="s">
        <v>69</v>
      </c>
    </row>
    <row r="17" spans="1:9" x14ac:dyDescent="0.3">
      <c r="A17" t="s">
        <v>61</v>
      </c>
    </row>
    <row r="18" spans="1:9" ht="57.6" x14ac:dyDescent="0.3">
      <c r="A18" s="1" t="s">
        <v>38</v>
      </c>
      <c r="B18" s="1" t="s">
        <v>39</v>
      </c>
      <c r="C18" s="1" t="s">
        <v>4</v>
      </c>
      <c r="D18" s="1" t="s">
        <v>52</v>
      </c>
      <c r="E18" s="1" t="s">
        <v>53</v>
      </c>
      <c r="F18" s="1" t="s">
        <v>13</v>
      </c>
      <c r="G18" s="1" t="s">
        <v>14</v>
      </c>
      <c r="I18" s="7" t="s">
        <v>70</v>
      </c>
    </row>
    <row r="19" spans="1:9" x14ac:dyDescent="0.3">
      <c r="A19" s="2">
        <v>1</v>
      </c>
      <c r="B19" s="2">
        <v>1</v>
      </c>
      <c r="C19" s="2">
        <v>1</v>
      </c>
      <c r="D19" s="2">
        <v>6</v>
      </c>
      <c r="E19" s="2">
        <v>3</v>
      </c>
      <c r="F19" s="2" t="s">
        <v>54</v>
      </c>
      <c r="G19" s="2">
        <v>4</v>
      </c>
      <c r="I19" s="8"/>
    </row>
    <row r="20" spans="1:9" x14ac:dyDescent="0.3">
      <c r="A20" s="2">
        <v>2</v>
      </c>
      <c r="B20" s="2">
        <v>2</v>
      </c>
      <c r="C20" s="2">
        <v>2</v>
      </c>
      <c r="D20" s="2">
        <v>2</v>
      </c>
      <c r="E20" s="2">
        <v>1</v>
      </c>
      <c r="F20" s="2" t="s">
        <v>55</v>
      </c>
      <c r="G20" s="2">
        <v>1</v>
      </c>
      <c r="I20" s="8" t="s">
        <v>71</v>
      </c>
    </row>
    <row r="21" spans="1:9" x14ac:dyDescent="0.3">
      <c r="A21" s="2">
        <v>3</v>
      </c>
      <c r="B21" s="2">
        <v>3</v>
      </c>
      <c r="C21" s="2">
        <v>3</v>
      </c>
      <c r="D21" s="2">
        <v>1</v>
      </c>
      <c r="E21" s="2">
        <v>2</v>
      </c>
      <c r="F21" s="2" t="s">
        <v>15</v>
      </c>
      <c r="G21" s="2">
        <v>1</v>
      </c>
      <c r="I21" s="8" t="s">
        <v>72</v>
      </c>
    </row>
    <row r="22" spans="1:9" x14ac:dyDescent="0.3">
      <c r="A22" s="2">
        <v>4</v>
      </c>
      <c r="B22" s="2">
        <v>4</v>
      </c>
      <c r="C22" s="2">
        <v>4</v>
      </c>
      <c r="D22" s="2">
        <v>3</v>
      </c>
      <c r="E22" s="2">
        <v>4</v>
      </c>
      <c r="F22" s="2" t="s">
        <v>56</v>
      </c>
      <c r="G22" s="2">
        <v>0</v>
      </c>
      <c r="I22" s="8" t="s">
        <v>73</v>
      </c>
    </row>
    <row r="23" spans="1:9" x14ac:dyDescent="0.3">
      <c r="A23" s="2">
        <v>5</v>
      </c>
      <c r="B23" s="2">
        <v>5</v>
      </c>
      <c r="C23" s="2">
        <v>5</v>
      </c>
      <c r="D23" s="2">
        <v>9</v>
      </c>
      <c r="E23" s="2">
        <v>9</v>
      </c>
      <c r="F23" s="2" t="s">
        <v>57</v>
      </c>
      <c r="G23" s="2">
        <v>16</v>
      </c>
    </row>
    <row r="24" spans="1:9" x14ac:dyDescent="0.3">
      <c r="A24" s="2">
        <v>6</v>
      </c>
      <c r="B24" s="2">
        <v>6</v>
      </c>
      <c r="C24" s="2">
        <v>6</v>
      </c>
      <c r="D24" s="2">
        <v>4</v>
      </c>
      <c r="E24" s="2">
        <v>5</v>
      </c>
      <c r="F24" s="2" t="s">
        <v>45</v>
      </c>
      <c r="G24" s="2">
        <v>1</v>
      </c>
      <c r="I24" t="s">
        <v>74</v>
      </c>
    </row>
    <row r="25" spans="1:9" x14ac:dyDescent="0.3">
      <c r="A25" s="2">
        <v>7</v>
      </c>
      <c r="B25" s="2">
        <v>7</v>
      </c>
      <c r="C25" s="2">
        <v>7</v>
      </c>
      <c r="D25" s="2">
        <v>5</v>
      </c>
      <c r="E25" s="2">
        <v>6</v>
      </c>
      <c r="F25" s="2" t="s">
        <v>24</v>
      </c>
      <c r="G25" s="2">
        <v>1</v>
      </c>
    </row>
    <row r="26" spans="1:9" x14ac:dyDescent="0.3">
      <c r="A26" s="2">
        <v>8</v>
      </c>
      <c r="B26" s="2">
        <v>8</v>
      </c>
      <c r="C26" s="2">
        <v>8</v>
      </c>
      <c r="D26" s="2">
        <v>7</v>
      </c>
      <c r="E26" s="2">
        <v>8</v>
      </c>
      <c r="F26" s="2" t="s">
        <v>58</v>
      </c>
      <c r="G26" s="2">
        <v>0</v>
      </c>
    </row>
    <row r="27" spans="1:9" ht="28.8" x14ac:dyDescent="0.3">
      <c r="A27" s="2">
        <v>9</v>
      </c>
      <c r="B27" s="2">
        <v>9</v>
      </c>
      <c r="C27" s="2">
        <v>9</v>
      </c>
      <c r="D27" s="2">
        <v>10</v>
      </c>
      <c r="E27" s="2">
        <v>10</v>
      </c>
      <c r="F27" s="2" t="s">
        <v>59</v>
      </c>
      <c r="G27" s="2">
        <v>1</v>
      </c>
    </row>
    <row r="28" spans="1:9" x14ac:dyDescent="0.3">
      <c r="A28" s="2">
        <v>10</v>
      </c>
      <c r="B28" s="2">
        <v>10</v>
      </c>
      <c r="C28" s="2">
        <v>10</v>
      </c>
      <c r="D28" s="2">
        <v>8</v>
      </c>
      <c r="E28" s="2">
        <v>7</v>
      </c>
      <c r="F28" s="2" t="s">
        <v>60</v>
      </c>
      <c r="G28" s="2">
        <v>9</v>
      </c>
    </row>
    <row r="30" spans="1:9" x14ac:dyDescent="0.3">
      <c r="F30" s="2" t="s">
        <v>50</v>
      </c>
      <c r="G30">
        <v>34</v>
      </c>
    </row>
    <row r="31" spans="1:9" x14ac:dyDescent="0.3">
      <c r="F31" s="2" t="s">
        <v>26</v>
      </c>
      <c r="G31" t="s">
        <v>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A1F6-4443-4382-8546-E5DF3CF676F4}">
  <dimension ref="A1:F22"/>
  <sheetViews>
    <sheetView zoomScale="70" zoomScaleNormal="70" workbookViewId="0">
      <selection activeCell="I26" sqref="I26"/>
    </sheetView>
  </sheetViews>
  <sheetFormatPr defaultRowHeight="14.4" x14ac:dyDescent="0.3"/>
  <sheetData>
    <row r="1" spans="1:6" ht="43.2" x14ac:dyDescent="0.3">
      <c r="A1" s="1" t="s">
        <v>38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3">
      <c r="A2" s="2">
        <v>1</v>
      </c>
      <c r="B2" s="2">
        <v>500</v>
      </c>
      <c r="C2" s="3">
        <v>45387</v>
      </c>
      <c r="D2" s="2">
        <v>2700</v>
      </c>
      <c r="E2" s="2">
        <v>250000</v>
      </c>
      <c r="F2" s="2" t="s">
        <v>80</v>
      </c>
    </row>
    <row r="3" spans="1:6" x14ac:dyDescent="0.3">
      <c r="A3" s="2">
        <v>2</v>
      </c>
      <c r="B3" s="2">
        <v>790</v>
      </c>
      <c r="C3" s="3">
        <v>45326</v>
      </c>
      <c r="D3" s="2">
        <v>3318</v>
      </c>
      <c r="E3" s="2">
        <v>624100</v>
      </c>
      <c r="F3" s="2" t="s">
        <v>81</v>
      </c>
    </row>
    <row r="4" spans="1:6" x14ac:dyDescent="0.3">
      <c r="A4" s="2">
        <v>3</v>
      </c>
      <c r="B4" s="2">
        <v>870</v>
      </c>
      <c r="C4" s="2" t="s">
        <v>82</v>
      </c>
      <c r="D4" s="2">
        <v>3480</v>
      </c>
      <c r="E4" s="2">
        <v>756900</v>
      </c>
      <c r="F4" s="2" t="s">
        <v>83</v>
      </c>
    </row>
    <row r="5" spans="1:6" x14ac:dyDescent="0.3">
      <c r="A5" s="2">
        <v>4</v>
      </c>
      <c r="B5" s="2">
        <v>1500</v>
      </c>
      <c r="C5" s="3">
        <v>45385</v>
      </c>
      <c r="D5" s="2">
        <v>5100</v>
      </c>
      <c r="E5" s="2">
        <v>2250000</v>
      </c>
      <c r="F5" s="4">
        <v>20760</v>
      </c>
    </row>
    <row r="6" spans="1:6" x14ac:dyDescent="0.3">
      <c r="A6" s="2">
        <v>5</v>
      </c>
      <c r="B6" s="2">
        <v>2300</v>
      </c>
      <c r="C6" s="3">
        <v>45414</v>
      </c>
      <c r="D6" s="2">
        <v>5750</v>
      </c>
      <c r="E6" s="2">
        <v>5290000</v>
      </c>
      <c r="F6" s="4">
        <v>45809</v>
      </c>
    </row>
    <row r="7" spans="1:6" x14ac:dyDescent="0.3">
      <c r="A7" s="2">
        <v>6</v>
      </c>
      <c r="B7" s="2">
        <v>5600</v>
      </c>
      <c r="C7" s="2" t="s">
        <v>84</v>
      </c>
      <c r="D7" s="2">
        <v>5600</v>
      </c>
      <c r="E7" s="2">
        <v>31360000</v>
      </c>
      <c r="F7" s="2" t="s">
        <v>85</v>
      </c>
    </row>
    <row r="8" spans="1:6" x14ac:dyDescent="0.3">
      <c r="A8" s="2">
        <v>7</v>
      </c>
      <c r="B8" s="2">
        <v>100</v>
      </c>
      <c r="C8" s="3">
        <v>45297</v>
      </c>
      <c r="D8" s="2">
        <v>610</v>
      </c>
      <c r="E8" s="2">
        <v>10000</v>
      </c>
      <c r="F8" s="2" t="s">
        <v>86</v>
      </c>
    </row>
    <row r="9" spans="1:6" x14ac:dyDescent="0.3">
      <c r="A9" s="2">
        <v>8</v>
      </c>
      <c r="B9" s="2">
        <v>20</v>
      </c>
      <c r="C9" s="3">
        <v>45330</v>
      </c>
      <c r="D9" s="2">
        <v>164</v>
      </c>
      <c r="E9" s="2">
        <v>400</v>
      </c>
      <c r="F9" s="2" t="s">
        <v>87</v>
      </c>
    </row>
    <row r="10" spans="1:6" x14ac:dyDescent="0.3">
      <c r="A10" s="2">
        <v>9</v>
      </c>
      <c r="B10" s="2">
        <v>5</v>
      </c>
      <c r="C10" s="3">
        <v>45457</v>
      </c>
      <c r="D10" s="2">
        <v>73</v>
      </c>
      <c r="E10" s="2">
        <v>25</v>
      </c>
      <c r="F10" s="2" t="s">
        <v>88</v>
      </c>
    </row>
    <row r="12" spans="1:6" x14ac:dyDescent="0.3">
      <c r="E12" t="s">
        <v>89</v>
      </c>
    </row>
    <row r="13" spans="1:6" x14ac:dyDescent="0.3">
      <c r="E13" t="s">
        <v>90</v>
      </c>
    </row>
    <row r="14" spans="1:6" x14ac:dyDescent="0.3">
      <c r="E14" t="s">
        <v>91</v>
      </c>
    </row>
    <row r="15" spans="1:6" x14ac:dyDescent="0.3">
      <c r="E15" t="s">
        <v>92</v>
      </c>
    </row>
    <row r="16" spans="1:6" x14ac:dyDescent="0.3">
      <c r="E16" t="s">
        <v>93</v>
      </c>
    </row>
    <row r="18" spans="5:6" x14ac:dyDescent="0.3">
      <c r="E18" t="s">
        <v>94</v>
      </c>
      <c r="F18" t="s">
        <v>95</v>
      </c>
    </row>
    <row r="20" spans="5:6" ht="18" x14ac:dyDescent="0.3">
      <c r="E20" s="7" t="s">
        <v>70</v>
      </c>
    </row>
    <row r="22" spans="5:6" x14ac:dyDescent="0.3">
      <c r="E22" t="s">
        <v>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CEC9-83CF-4024-A9FB-9F6D7516C601}">
  <dimension ref="A1:H15"/>
  <sheetViews>
    <sheetView tabSelected="1" zoomScale="85" zoomScaleNormal="85" workbookViewId="0">
      <selection activeCell="L18" sqref="L18"/>
    </sheetView>
  </sheetViews>
  <sheetFormatPr defaultRowHeight="14.4" x14ac:dyDescent="0.3"/>
  <sheetData>
    <row r="1" spans="1:8" ht="43.2" x14ac:dyDescent="0.3">
      <c r="A1" s="1" t="s">
        <v>38</v>
      </c>
      <c r="B1" s="1" t="s">
        <v>97</v>
      </c>
      <c r="C1" s="1" t="s">
        <v>98</v>
      </c>
      <c r="D1" s="1" t="s">
        <v>77</v>
      </c>
      <c r="E1" s="1" t="s">
        <v>78</v>
      </c>
      <c r="F1" s="1" t="s">
        <v>79</v>
      </c>
    </row>
    <row r="2" spans="1:8" x14ac:dyDescent="0.3">
      <c r="A2" s="2">
        <v>1</v>
      </c>
      <c r="B2" s="2">
        <v>24</v>
      </c>
      <c r="C2" s="2">
        <v>100</v>
      </c>
      <c r="D2" s="2">
        <v>2400</v>
      </c>
      <c r="E2" s="2">
        <v>576</v>
      </c>
      <c r="F2" s="2">
        <v>10000</v>
      </c>
      <c r="H2" t="s">
        <v>99</v>
      </c>
    </row>
    <row r="3" spans="1:8" x14ac:dyDescent="0.3">
      <c r="A3" s="2">
        <v>2</v>
      </c>
      <c r="B3" s="2">
        <v>27</v>
      </c>
      <c r="C3" s="2">
        <v>115</v>
      </c>
      <c r="D3" s="2">
        <v>3105</v>
      </c>
      <c r="E3" s="2">
        <v>729</v>
      </c>
      <c r="F3" s="2">
        <v>13225</v>
      </c>
      <c r="H3" t="s">
        <v>100</v>
      </c>
    </row>
    <row r="4" spans="1:8" x14ac:dyDescent="0.3">
      <c r="A4" s="2">
        <v>3</v>
      </c>
      <c r="B4" s="2">
        <v>26</v>
      </c>
      <c r="C4" s="2">
        <v>117</v>
      </c>
      <c r="D4" s="2">
        <v>3042</v>
      </c>
      <c r="E4" s="2">
        <v>676</v>
      </c>
      <c r="F4" s="2">
        <v>13689</v>
      </c>
      <c r="H4" t="s">
        <v>101</v>
      </c>
    </row>
    <row r="5" spans="1:8" x14ac:dyDescent="0.3">
      <c r="A5" s="2">
        <v>4</v>
      </c>
      <c r="B5" s="2">
        <v>21</v>
      </c>
      <c r="C5" s="2">
        <v>119</v>
      </c>
      <c r="D5" s="2">
        <v>2499</v>
      </c>
      <c r="E5" s="2">
        <v>441</v>
      </c>
      <c r="F5" s="2">
        <v>14161</v>
      </c>
      <c r="H5" t="s">
        <v>102</v>
      </c>
    </row>
    <row r="6" spans="1:8" x14ac:dyDescent="0.3">
      <c r="A6" s="2">
        <v>5</v>
      </c>
      <c r="B6" s="2">
        <v>20</v>
      </c>
      <c r="C6" s="2">
        <v>134</v>
      </c>
      <c r="D6" s="2">
        <v>2680</v>
      </c>
      <c r="E6" s="2">
        <v>400</v>
      </c>
      <c r="F6" s="2">
        <v>17956</v>
      </c>
      <c r="H6" t="s">
        <v>103</v>
      </c>
    </row>
    <row r="7" spans="1:8" x14ac:dyDescent="0.3">
      <c r="A7" s="2">
        <v>6</v>
      </c>
      <c r="B7" s="2">
        <v>31</v>
      </c>
      <c r="C7" s="2">
        <v>94</v>
      </c>
      <c r="D7" s="2">
        <v>2914</v>
      </c>
      <c r="E7" s="2">
        <v>961</v>
      </c>
      <c r="F7" s="2">
        <v>8836</v>
      </c>
    </row>
    <row r="8" spans="1:8" x14ac:dyDescent="0.3">
      <c r="A8" s="2">
        <v>7</v>
      </c>
      <c r="B8" s="2">
        <v>26</v>
      </c>
      <c r="C8" s="2">
        <v>105</v>
      </c>
      <c r="D8" s="2">
        <v>2730</v>
      </c>
      <c r="E8" s="2">
        <v>676</v>
      </c>
      <c r="F8" s="2">
        <v>11025</v>
      </c>
    </row>
    <row r="9" spans="1:8" x14ac:dyDescent="0.3">
      <c r="A9" s="2">
        <v>8</v>
      </c>
      <c r="B9" s="2">
        <v>22</v>
      </c>
      <c r="C9" s="2">
        <v>103</v>
      </c>
      <c r="D9" s="2">
        <v>2266</v>
      </c>
      <c r="E9" s="2">
        <v>484</v>
      </c>
      <c r="F9" s="2">
        <v>10609</v>
      </c>
    </row>
    <row r="10" spans="1:8" x14ac:dyDescent="0.3">
      <c r="A10" s="2">
        <v>9</v>
      </c>
      <c r="B10" s="2">
        <v>20</v>
      </c>
      <c r="C10" s="2">
        <v>111</v>
      </c>
      <c r="D10" s="2">
        <v>2220</v>
      </c>
      <c r="E10" s="2">
        <v>400</v>
      </c>
      <c r="F10" s="2">
        <v>12321</v>
      </c>
    </row>
    <row r="11" spans="1:8" x14ac:dyDescent="0.3">
      <c r="A11" s="2">
        <v>10</v>
      </c>
      <c r="B11" s="2">
        <v>18</v>
      </c>
      <c r="C11" s="2">
        <v>124</v>
      </c>
      <c r="D11" s="2">
        <v>2232</v>
      </c>
      <c r="E11" s="2">
        <v>324</v>
      </c>
      <c r="F11" s="2">
        <v>15376</v>
      </c>
    </row>
    <row r="12" spans="1:8" x14ac:dyDescent="0.3">
      <c r="A12" s="2">
        <v>11</v>
      </c>
      <c r="B12" s="2">
        <v>30</v>
      </c>
      <c r="C12" s="2">
        <v>122</v>
      </c>
      <c r="D12" s="2">
        <v>3660</v>
      </c>
      <c r="E12" s="2">
        <v>900</v>
      </c>
      <c r="F12" s="2">
        <v>14884</v>
      </c>
      <c r="H12" t="s">
        <v>105</v>
      </c>
    </row>
    <row r="13" spans="1:8" x14ac:dyDescent="0.3">
      <c r="A13" s="2">
        <v>12</v>
      </c>
      <c r="B13" s="2">
        <v>29</v>
      </c>
      <c r="C13" s="2">
        <v>109</v>
      </c>
      <c r="D13" s="2">
        <v>3161</v>
      </c>
      <c r="E13" s="2">
        <v>841</v>
      </c>
      <c r="F13" s="2">
        <v>11881</v>
      </c>
      <c r="H13" t="s">
        <v>104</v>
      </c>
    </row>
    <row r="14" spans="1:8" x14ac:dyDescent="0.3">
      <c r="A14" s="2">
        <v>13</v>
      </c>
      <c r="B14" s="2">
        <v>24</v>
      </c>
      <c r="C14" s="2">
        <v>110</v>
      </c>
      <c r="D14" s="2">
        <v>2640</v>
      </c>
      <c r="E14" s="2">
        <v>576</v>
      </c>
      <c r="F14" s="2">
        <v>12100</v>
      </c>
    </row>
    <row r="15" spans="1:8" x14ac:dyDescent="0.3">
      <c r="A15" s="2">
        <v>14</v>
      </c>
      <c r="B15" s="2">
        <v>26</v>
      </c>
      <c r="C15" s="2">
        <v>86</v>
      </c>
      <c r="D15" s="2">
        <v>2236</v>
      </c>
      <c r="E15" s="2">
        <v>676</v>
      </c>
      <c r="F15" s="2">
        <v>7396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HORRUS TH</dc:creator>
  <cp:lastModifiedBy>HORRUS TH</cp:lastModifiedBy>
  <dcterms:created xsi:type="dcterms:W3CDTF">2015-06-05T18:19:34Z</dcterms:created>
  <dcterms:modified xsi:type="dcterms:W3CDTF">2024-06-02T23:44:20Z</dcterms:modified>
</cp:coreProperties>
</file>