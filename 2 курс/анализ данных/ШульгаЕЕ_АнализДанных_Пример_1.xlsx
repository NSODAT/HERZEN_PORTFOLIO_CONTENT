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Z:\Users\kisa\Desktop\АНАЛИЗ ДАННЫХ\ЛР5\"/>
    </mc:Choice>
  </mc:AlternateContent>
  <xr:revisionPtr revIDLastSave="0" documentId="13_ncr:1_{93946F31-B4BD-43EF-8FF3-FDCCE24F3FE9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4" i="1" l="1"/>
  <c r="G34" i="1"/>
  <c r="H31" i="1"/>
  <c r="G31" i="1"/>
  <c r="H28" i="1"/>
  <c r="G28" i="1"/>
  <c r="H25" i="1"/>
  <c r="G25" i="1"/>
  <c r="H22" i="1"/>
  <c r="G22" i="1"/>
  <c r="H19" i="1"/>
  <c r="G19" i="1"/>
  <c r="H16" i="1"/>
  <c r="G16" i="1"/>
  <c r="H13" i="1"/>
  <c r="G13" i="1"/>
  <c r="H10" i="1"/>
  <c r="G10" i="1"/>
  <c r="H7" i="1"/>
  <c r="G7" i="1"/>
  <c r="D5" i="1"/>
  <c r="D6" i="1" s="1"/>
  <c r="D7" i="1" s="1"/>
  <c r="D8" i="1" s="1"/>
  <c r="D9" i="1" s="1"/>
  <c r="D10" i="1" s="1"/>
  <c r="D11" i="1" s="1"/>
  <c r="D12" i="1" s="1"/>
  <c r="D13" i="1" s="1"/>
  <c r="D4" i="1"/>
  <c r="D3" i="1"/>
  <c r="C14" i="1"/>
  <c r="C4" i="1"/>
  <c r="C5" i="1"/>
  <c r="C6" i="1"/>
  <c r="C7" i="1"/>
  <c r="C8" i="1"/>
  <c r="C9" i="1"/>
  <c r="C10" i="1"/>
  <c r="C11" i="1"/>
  <c r="C12" i="1"/>
  <c r="C13" i="1"/>
  <c r="C3" i="1"/>
  <c r="B14" i="1"/>
</calcChain>
</file>

<file path=xl/sharedStrings.xml><?xml version="1.0" encoding="utf-8"?>
<sst xmlns="http://schemas.openxmlformats.org/spreadsheetml/2006/main" count="5" uniqueCount="5">
  <si>
    <t>xi</t>
  </si>
  <si>
    <t>mi</t>
  </si>
  <si>
    <t>СУММ=</t>
  </si>
  <si>
    <t>относ</t>
  </si>
  <si>
    <t>отн нак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</si>
</sst>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эмперическая формула</a:t>
            </a:r>
            <a:r>
              <a:rPr lang="ru-RU" baseline="0"/>
              <a:t>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5469816272965877E-2"/>
          <c:y val="0.17171296296296298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Лист1!$G$6:$H$6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xVal>
          <c:yVal>
            <c:numRef>
              <c:f>Лист1!$G$7:$H$7</c:f>
              <c:numCache>
                <c:formatCode>General</c:formatCode>
                <c:ptCount val="2"/>
                <c:pt idx="0">
                  <c:v>3.8461538461538464E-2</c:v>
                </c:pt>
                <c:pt idx="1">
                  <c:v>3.8461538461538464E-2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4-4832-8885-C21DF77B6F80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Лист1!$G$3:$H$3</c:f>
              <c:numCache>
                <c:formatCode>General</c:formatCode>
                <c:ptCount val="2"/>
                <c:pt idx="0">
                  <c:v>-1</c:v>
                </c:pt>
                <c:pt idx="1">
                  <c:v>9</c:v>
                </c:pt>
              </c:numCache>
            </c:numRef>
          </c:xVal>
          <c:yVal>
            <c:numRef>
              <c:f>Лист1!$G$4:$H$4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04-4832-8885-C21DF77B6F80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Лист1!$G$9:$H$9</c:f>
              <c:numCache>
                <c:formatCode>General</c:formatCode>
                <c:ptCount val="2"/>
                <c:pt idx="0">
                  <c:v>12</c:v>
                </c:pt>
                <c:pt idx="1">
                  <c:v>13</c:v>
                </c:pt>
              </c:numCache>
            </c:numRef>
          </c:xVal>
          <c:yVal>
            <c:numRef>
              <c:f>Лист1!$G$10:$H$10</c:f>
              <c:numCache>
                <c:formatCode>General</c:formatCode>
                <c:ptCount val="2"/>
                <c:pt idx="0">
                  <c:v>0.11538461538461539</c:v>
                </c:pt>
                <c:pt idx="1">
                  <c:v>0.11538461538461539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04-4832-8885-C21DF77B6F80}"/>
            </c:ext>
          </c:extLst>
        </c:ser>
        <c:ser>
          <c:idx val="3"/>
          <c:order val="3"/>
          <c:tx>
            <c:v>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Лист1!$G$12:$H$12</c:f>
              <c:numCache>
                <c:formatCode>General</c:formatCode>
                <c:ptCount val="2"/>
                <c:pt idx="0">
                  <c:v>13</c:v>
                </c:pt>
                <c:pt idx="1">
                  <c:v>14</c:v>
                </c:pt>
              </c:numCache>
            </c:numRef>
          </c:xVal>
          <c:yVal>
            <c:numRef>
              <c:f>Лист1!$G$13:$H$13</c:f>
              <c:numCache>
                <c:formatCode>General</c:formatCode>
                <c:ptCount val="2"/>
                <c:pt idx="0">
                  <c:v>0.23076923076923078</c:v>
                </c:pt>
                <c:pt idx="1">
                  <c:v>0.23076923076923078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04-4832-8885-C21DF77B6F80}"/>
            </c:ext>
          </c:extLst>
        </c:ser>
        <c:ser>
          <c:idx val="4"/>
          <c:order val="4"/>
          <c:tx>
            <c:v>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Лист1!$G$15:$H$15</c:f>
              <c:numCache>
                <c:formatCode>General</c:formatCode>
                <c:ptCount val="2"/>
                <c:pt idx="0">
                  <c:v>14</c:v>
                </c:pt>
                <c:pt idx="1">
                  <c:v>15</c:v>
                </c:pt>
              </c:numCache>
            </c:numRef>
          </c:xVal>
          <c:yVal>
            <c:numRef>
              <c:f>Лист1!$G$16:$H$16</c:f>
              <c:numCache>
                <c:formatCode>General</c:formatCode>
                <c:ptCount val="2"/>
                <c:pt idx="0">
                  <c:v>0.46153846153846156</c:v>
                </c:pt>
                <c:pt idx="1">
                  <c:v>0.46153846153846156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04-4832-8885-C21DF77B6F80}"/>
            </c:ext>
          </c:extLst>
        </c:ser>
        <c:ser>
          <c:idx val="5"/>
          <c:order val="5"/>
          <c:tx>
            <c:v>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Лист1!$G$18:$H$18</c:f>
              <c:numCache>
                <c:formatCode>General</c:formatCode>
                <c:ptCount val="2"/>
                <c:pt idx="0">
                  <c:v>15</c:v>
                </c:pt>
                <c:pt idx="1">
                  <c:v>16</c:v>
                </c:pt>
              </c:numCache>
            </c:numRef>
          </c:xVal>
          <c:yVal>
            <c:numRef>
              <c:f>Лист1!$G$19:$H$19</c:f>
              <c:numCache>
                <c:formatCode>General</c:formatCode>
                <c:ptCount val="2"/>
                <c:pt idx="0">
                  <c:v>0.65384615384615385</c:v>
                </c:pt>
                <c:pt idx="1">
                  <c:v>0.65384615384615385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04-4832-8885-C21DF77B6F80}"/>
            </c:ext>
          </c:extLst>
        </c:ser>
        <c:ser>
          <c:idx val="6"/>
          <c:order val="6"/>
          <c:tx>
            <c:v>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Лист1!$G$21:$H$21</c:f>
              <c:numCache>
                <c:formatCode>General</c:formatCode>
                <c:ptCount val="2"/>
                <c:pt idx="0">
                  <c:v>16</c:v>
                </c:pt>
                <c:pt idx="1">
                  <c:v>17</c:v>
                </c:pt>
              </c:numCache>
            </c:numRef>
          </c:xVal>
          <c:yVal>
            <c:numRef>
              <c:f>Лист1!$G$22:$H$22</c:f>
              <c:numCache>
                <c:formatCode>General</c:formatCode>
                <c:ptCount val="2"/>
                <c:pt idx="0">
                  <c:v>0.76923076923076927</c:v>
                </c:pt>
                <c:pt idx="1">
                  <c:v>0.76923076923076927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D04-4832-8885-C21DF77B6F80}"/>
            </c:ext>
          </c:extLst>
        </c:ser>
        <c:ser>
          <c:idx val="7"/>
          <c:order val="7"/>
          <c:tx>
            <c:v>7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</c:dPt>
          <c:xVal>
            <c:numRef>
              <c:f>Лист1!$G$24:$H$24</c:f>
              <c:numCache>
                <c:formatCode>General</c:formatCode>
                <c:ptCount val="2"/>
                <c:pt idx="0">
                  <c:v>17</c:v>
                </c:pt>
                <c:pt idx="1">
                  <c:v>19</c:v>
                </c:pt>
              </c:numCache>
            </c:numRef>
          </c:xVal>
          <c:yVal>
            <c:numRef>
              <c:f>Лист1!$G$25:$H$25</c:f>
              <c:numCache>
                <c:formatCode>General</c:formatCode>
                <c:ptCount val="2"/>
                <c:pt idx="0">
                  <c:v>0.84615384615384626</c:v>
                </c:pt>
                <c:pt idx="1">
                  <c:v>0.84615384615384626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04-4832-8885-C21DF77B6F80}"/>
            </c:ext>
          </c:extLst>
        </c:ser>
        <c:ser>
          <c:idx val="8"/>
          <c:order val="8"/>
          <c:tx>
            <c:v>9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Лист1!$G$27:$H$27</c:f>
              <c:numCache>
                <c:formatCode>General</c:formatCode>
                <c:ptCount val="2"/>
                <c:pt idx="0">
                  <c:v>19</c:v>
                </c:pt>
                <c:pt idx="1">
                  <c:v>21</c:v>
                </c:pt>
              </c:numCache>
            </c:numRef>
          </c:xVal>
          <c:yVal>
            <c:numRef>
              <c:f>Лист1!$G$28:$H$28</c:f>
              <c:numCache>
                <c:formatCode>General</c:formatCode>
                <c:ptCount val="2"/>
                <c:pt idx="0">
                  <c:v>0.88461538461538469</c:v>
                </c:pt>
                <c:pt idx="1">
                  <c:v>0.88461538461538469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D04-4832-8885-C21DF77B6F80}"/>
            </c:ext>
          </c:extLst>
        </c:ser>
        <c:ser>
          <c:idx val="9"/>
          <c:order val="9"/>
          <c:tx>
            <c:v>21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Лист1!$G$30:$H$30</c:f>
              <c:numCache>
                <c:formatCode>General</c:formatCode>
                <c:ptCount val="2"/>
                <c:pt idx="0">
                  <c:v>21</c:v>
                </c:pt>
                <c:pt idx="1">
                  <c:v>23</c:v>
                </c:pt>
              </c:numCache>
            </c:numRef>
          </c:xVal>
          <c:yVal>
            <c:numRef>
              <c:f>Лист1!$G$31:$H$31</c:f>
              <c:numCache>
                <c:formatCode>General</c:formatCode>
                <c:ptCount val="2"/>
                <c:pt idx="0">
                  <c:v>0.92307692307692313</c:v>
                </c:pt>
                <c:pt idx="1">
                  <c:v>0.92307692307692313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D04-4832-8885-C21DF77B6F80}"/>
            </c:ext>
          </c:extLst>
        </c:ser>
        <c:ser>
          <c:idx val="10"/>
          <c:order val="10"/>
          <c:tx>
            <c:v>23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Лист1!$G$33:$H$33</c:f>
              <c:numCache>
                <c:formatCode>General</c:formatCode>
                <c:ptCount val="2"/>
                <c:pt idx="0">
                  <c:v>23</c:v>
                </c:pt>
                <c:pt idx="1">
                  <c:v>27</c:v>
                </c:pt>
              </c:numCache>
            </c:numRef>
          </c:xVal>
          <c:yVal>
            <c:numRef>
              <c:f>Лист1!$G$34:$H$34</c:f>
              <c:numCache>
                <c:formatCode>General</c:formatCode>
                <c:ptCount val="2"/>
                <c:pt idx="0">
                  <c:v>0.96153846153846156</c:v>
                </c:pt>
                <c:pt idx="1">
                  <c:v>0.96153846153846156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D04-4832-8885-C21DF77B6F80}"/>
            </c:ext>
          </c:extLst>
        </c:ser>
        <c:ser>
          <c:idx val="11"/>
          <c:order val="11"/>
          <c:tx>
            <c:v>27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Лист1!$G$36:$H$36</c:f>
              <c:numCache>
                <c:formatCode>General</c:formatCode>
                <c:ptCount val="2"/>
                <c:pt idx="0">
                  <c:v>27</c:v>
                </c:pt>
                <c:pt idx="1">
                  <c:v>29</c:v>
                </c:pt>
              </c:numCache>
            </c:numRef>
          </c:xVal>
          <c:yVal>
            <c:numRef>
              <c:f>Лист1!$G$37:$H$37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D04-4832-8885-C21DF77B6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74448"/>
        <c:axId val="2049433504"/>
      </c:scatterChart>
      <c:valAx>
        <c:axId val="115474448"/>
        <c:scaling>
          <c:orientation val="minMax"/>
          <c:max val="29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9433504"/>
        <c:crosses val="autoZero"/>
        <c:crossBetween val="midCat"/>
      </c:valAx>
      <c:valAx>
        <c:axId val="2049433504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47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175260</xdr:rowOff>
    </xdr:from>
    <xdr:to>
      <xdr:col>16</xdr:col>
      <xdr:colOff>312420</xdr:colOff>
      <xdr:row>16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64FA395-B4EE-4829-952A-2440B4CD2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7"/>
  <sheetViews>
    <sheetView tabSelected="1" zoomScale="85" zoomScaleNormal="85" workbookViewId="0">
      <selection activeCell="O24" sqref="O23:O24"/>
    </sheetView>
  </sheetViews>
  <sheetFormatPr defaultRowHeight="14.4" x14ac:dyDescent="0.3"/>
  <sheetData>
    <row r="2" spans="1:8" x14ac:dyDescent="0.3">
      <c r="A2" t="s">
        <v>0</v>
      </c>
      <c r="B2" t="s">
        <v>1</v>
      </c>
      <c r="C2" t="s">
        <v>3</v>
      </c>
      <c r="D2" t="s">
        <v>4</v>
      </c>
    </row>
    <row r="3" spans="1:8" x14ac:dyDescent="0.3">
      <c r="A3">
        <v>9</v>
      </c>
      <c r="B3">
        <v>1</v>
      </c>
      <c r="C3">
        <f>B3/$B$14</f>
        <v>3.8461538461538464E-2</v>
      </c>
      <c r="D3">
        <f>C3</f>
        <v>3.8461538461538464E-2</v>
      </c>
      <c r="G3">
        <v>-1</v>
      </c>
      <c r="H3">
        <v>9</v>
      </c>
    </row>
    <row r="4" spans="1:8" x14ac:dyDescent="0.3">
      <c r="A4">
        <v>12</v>
      </c>
      <c r="B4">
        <v>2</v>
      </c>
      <c r="C4">
        <f t="shared" ref="C4:C13" si="0">B4/$B$14</f>
        <v>7.6923076923076927E-2</v>
      </c>
      <c r="D4">
        <f>D3+C4</f>
        <v>0.11538461538461539</v>
      </c>
      <c r="G4">
        <v>0</v>
      </c>
      <c r="H4">
        <v>0</v>
      </c>
    </row>
    <row r="5" spans="1:8" x14ac:dyDescent="0.3">
      <c r="A5">
        <v>13</v>
      </c>
      <c r="B5">
        <v>3</v>
      </c>
      <c r="C5">
        <f t="shared" si="0"/>
        <v>0.11538461538461539</v>
      </c>
      <c r="D5">
        <f t="shared" ref="D5:D13" si="1">D4+C5</f>
        <v>0.23076923076923078</v>
      </c>
    </row>
    <row r="6" spans="1:8" x14ac:dyDescent="0.3">
      <c r="A6">
        <v>14</v>
      </c>
      <c r="B6">
        <v>6</v>
      </c>
      <c r="C6">
        <f t="shared" si="0"/>
        <v>0.23076923076923078</v>
      </c>
      <c r="D6">
        <f t="shared" si="1"/>
        <v>0.46153846153846156</v>
      </c>
      <c r="G6">
        <v>9</v>
      </c>
      <c r="H6">
        <v>12</v>
      </c>
    </row>
    <row r="7" spans="1:8" x14ac:dyDescent="0.3">
      <c r="A7">
        <v>15</v>
      </c>
      <c r="B7">
        <v>5</v>
      </c>
      <c r="C7">
        <f t="shared" si="0"/>
        <v>0.19230769230769232</v>
      </c>
      <c r="D7">
        <f t="shared" si="1"/>
        <v>0.65384615384615385</v>
      </c>
      <c r="G7">
        <f>D3</f>
        <v>3.8461538461538464E-2</v>
      </c>
      <c r="H7">
        <f>D3</f>
        <v>3.8461538461538464E-2</v>
      </c>
    </row>
    <row r="8" spans="1:8" x14ac:dyDescent="0.3">
      <c r="A8">
        <v>16</v>
      </c>
      <c r="B8">
        <v>3</v>
      </c>
      <c r="C8">
        <f t="shared" si="0"/>
        <v>0.11538461538461539</v>
      </c>
      <c r="D8">
        <f t="shared" si="1"/>
        <v>0.76923076923076927</v>
      </c>
    </row>
    <row r="9" spans="1:8" x14ac:dyDescent="0.3">
      <c r="A9">
        <v>17</v>
      </c>
      <c r="B9">
        <v>2</v>
      </c>
      <c r="C9">
        <f t="shared" si="0"/>
        <v>7.6923076923076927E-2</v>
      </c>
      <c r="D9">
        <f t="shared" si="1"/>
        <v>0.84615384615384626</v>
      </c>
      <c r="G9">
        <v>12</v>
      </c>
      <c r="H9">
        <v>13</v>
      </c>
    </row>
    <row r="10" spans="1:8" x14ac:dyDescent="0.3">
      <c r="A10">
        <v>19</v>
      </c>
      <c r="B10">
        <v>1</v>
      </c>
      <c r="C10">
        <f t="shared" si="0"/>
        <v>3.8461538461538464E-2</v>
      </c>
      <c r="D10">
        <f t="shared" si="1"/>
        <v>0.88461538461538469</v>
      </c>
      <c r="G10">
        <f>D4</f>
        <v>0.11538461538461539</v>
      </c>
      <c r="H10">
        <f>D4</f>
        <v>0.11538461538461539</v>
      </c>
    </row>
    <row r="11" spans="1:8" x14ac:dyDescent="0.3">
      <c r="A11">
        <v>21</v>
      </c>
      <c r="B11">
        <v>1</v>
      </c>
      <c r="C11">
        <f t="shared" si="0"/>
        <v>3.8461538461538464E-2</v>
      </c>
      <c r="D11">
        <f t="shared" si="1"/>
        <v>0.92307692307692313</v>
      </c>
    </row>
    <row r="12" spans="1:8" x14ac:dyDescent="0.3">
      <c r="A12">
        <v>23</v>
      </c>
      <c r="B12">
        <v>1</v>
      </c>
      <c r="C12">
        <f t="shared" si="0"/>
        <v>3.8461538461538464E-2</v>
      </c>
      <c r="D12">
        <f t="shared" si="1"/>
        <v>0.96153846153846156</v>
      </c>
      <c r="G12">
        <v>13</v>
      </c>
      <c r="H12">
        <v>14</v>
      </c>
    </row>
    <row r="13" spans="1:8" x14ac:dyDescent="0.3">
      <c r="A13">
        <v>27</v>
      </c>
      <c r="B13">
        <v>1</v>
      </c>
      <c r="C13">
        <f t="shared" si="0"/>
        <v>3.8461538461538464E-2</v>
      </c>
      <c r="D13">
        <f t="shared" si="1"/>
        <v>1</v>
      </c>
      <c r="G13">
        <f>D5</f>
        <v>0.23076923076923078</v>
      </c>
      <c r="H13">
        <f>D5</f>
        <v>0.23076923076923078</v>
      </c>
    </row>
    <row r="14" spans="1:8" x14ac:dyDescent="0.3">
      <c r="A14" t="s">
        <v>2</v>
      </c>
      <c r="B14">
        <f>SUM(B3:B13)</f>
        <v>26</v>
      </c>
      <c r="C14" s="1">
        <f>SUM(C3:C13)</f>
        <v>1</v>
      </c>
    </row>
    <row r="15" spans="1:8" x14ac:dyDescent="0.3">
      <c r="G15">
        <v>14</v>
      </c>
      <c r="H15">
        <v>15</v>
      </c>
    </row>
    <row r="16" spans="1:8" x14ac:dyDescent="0.3">
      <c r="G16">
        <f>D6</f>
        <v>0.46153846153846156</v>
      </c>
      <c r="H16">
        <f>D6</f>
        <v>0.46153846153846156</v>
      </c>
    </row>
    <row r="18" spans="7:8" x14ac:dyDescent="0.3">
      <c r="G18">
        <v>15</v>
      </c>
      <c r="H18">
        <v>16</v>
      </c>
    </row>
    <row r="19" spans="7:8" x14ac:dyDescent="0.3">
      <c r="G19">
        <f>D7</f>
        <v>0.65384615384615385</v>
      </c>
      <c r="H19">
        <f>D7</f>
        <v>0.65384615384615385</v>
      </c>
    </row>
    <row r="21" spans="7:8" x14ac:dyDescent="0.3">
      <c r="G21">
        <v>16</v>
      </c>
      <c r="H21">
        <v>17</v>
      </c>
    </row>
    <row r="22" spans="7:8" x14ac:dyDescent="0.3">
      <c r="G22">
        <f>D8</f>
        <v>0.76923076923076927</v>
      </c>
      <c r="H22">
        <f>D8</f>
        <v>0.76923076923076927</v>
      </c>
    </row>
    <row r="24" spans="7:8" x14ac:dyDescent="0.3">
      <c r="G24">
        <v>17</v>
      </c>
      <c r="H24">
        <v>19</v>
      </c>
    </row>
    <row r="25" spans="7:8" x14ac:dyDescent="0.3">
      <c r="G25">
        <f>D9</f>
        <v>0.84615384615384626</v>
      </c>
      <c r="H25">
        <f>D9</f>
        <v>0.84615384615384626</v>
      </c>
    </row>
    <row r="27" spans="7:8" x14ac:dyDescent="0.3">
      <c r="G27">
        <v>19</v>
      </c>
      <c r="H27">
        <v>21</v>
      </c>
    </row>
    <row r="28" spans="7:8" x14ac:dyDescent="0.3">
      <c r="G28">
        <f>D10</f>
        <v>0.88461538461538469</v>
      </c>
      <c r="H28">
        <f>D10</f>
        <v>0.88461538461538469</v>
      </c>
    </row>
    <row r="30" spans="7:8" x14ac:dyDescent="0.3">
      <c r="G30">
        <v>21</v>
      </c>
      <c r="H30">
        <v>23</v>
      </c>
    </row>
    <row r="31" spans="7:8" x14ac:dyDescent="0.3">
      <c r="G31">
        <f>D11</f>
        <v>0.92307692307692313</v>
      </c>
      <c r="H31">
        <f>D11</f>
        <v>0.92307692307692313</v>
      </c>
    </row>
    <row r="33" spans="7:8" x14ac:dyDescent="0.3">
      <c r="G33">
        <v>23</v>
      </c>
      <c r="H33">
        <v>27</v>
      </c>
    </row>
    <row r="34" spans="7:8" x14ac:dyDescent="0.3">
      <c r="G34">
        <f>D12</f>
        <v>0.96153846153846156</v>
      </c>
      <c r="H34">
        <f>D12</f>
        <v>0.96153846153846156</v>
      </c>
    </row>
    <row r="36" spans="7:8" x14ac:dyDescent="0.3">
      <c r="G36">
        <v>27</v>
      </c>
      <c r="H36">
        <v>29</v>
      </c>
    </row>
    <row r="37" spans="7:8" x14ac:dyDescent="0.3">
      <c r="G37">
        <v>1</v>
      </c>
      <c r="H3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</dc:creator>
  <cp:lastModifiedBy>киса</cp:lastModifiedBy>
  <dcterms:created xsi:type="dcterms:W3CDTF">2015-06-05T18:19:34Z</dcterms:created>
  <dcterms:modified xsi:type="dcterms:W3CDTF">2024-04-07T11:57:07Z</dcterms:modified>
</cp:coreProperties>
</file>